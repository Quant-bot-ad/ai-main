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44.xml" ContentType="application/vnd.openxmlformats-officedocument.spreadsheetml.worksheet+xml"/>
  <Override PartName="/xl/worksheets/sheet53.xml" ContentType="application/vnd.openxmlformats-officedocument.spreadsheetml.worksheet+xml"/>
  <Override PartName="/xl/worksheets/sheet62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42.xml" ContentType="application/vnd.openxmlformats-officedocument.spreadsheetml.worksheet+xml"/>
  <Override PartName="/xl/worksheets/sheet51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59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2.xml" ContentType="application/vnd.openxmlformats-officedocument.spreadsheetml.worksheet+xml"/>
  <Override PartName="/xl/worksheets/sheet63.xml" ContentType="application/vnd.openxmlformats-officedocument.spreadsheetml.worksheet+xml"/>
  <Default Extension="bin" ContentType="application/vnd.openxmlformats-officedocument.spreadsheetml.printerSettings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worksheets/sheet5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9040" windowHeight="15990" tabRatio="835" firstSheet="45" activeTab="64"/>
  </bookViews>
  <sheets>
    <sheet name="СТ-41" sheetId="58" r:id="rId1"/>
    <sheet name="КУГ-411" sheetId="68" r:id="rId2"/>
    <sheet name="КО1-211" sheetId="67" r:id="rId3"/>
    <sheet name="КО2-211" sheetId="66" r:id="rId4"/>
    <sheet name="КО3-211" sheetId="65" r:id="rId5"/>
    <sheet name="КУГ-212" sheetId="64" r:id="rId6"/>
    <sheet name="КО1-212" sheetId="63" r:id="rId7"/>
    <sheet name="КО2-212" sheetId="62" r:id="rId8"/>
    <sheet name="КУГ-213" sheetId="61" r:id="rId9"/>
    <sheet name="КО1-213" sheetId="60" r:id="rId10"/>
    <sheet name="КО2-213" sheetId="59" r:id="rId11"/>
    <sheet name="КУГ-214" sheetId="57" r:id="rId12"/>
    <sheet name="КО1-214" sheetId="56" r:id="rId13"/>
    <sheet name="СТ-22" sheetId="45" r:id="rId14"/>
    <sheet name="КУГ-221" sheetId="55" r:id="rId15"/>
    <sheet name="КО1-221" sheetId="54" r:id="rId16"/>
    <sheet name="КО2-221" sheetId="53" r:id="rId17"/>
    <sheet name="КО3-221" sheetId="52" r:id="rId18"/>
    <sheet name="КУГ-222" sheetId="51" r:id="rId19"/>
    <sheet name="КО1-222" sheetId="50" r:id="rId20"/>
    <sheet name="КО2-222" sheetId="49" r:id="rId21"/>
    <sheet name="КУГ-223" sheetId="48" r:id="rId22"/>
    <sheet name="КО1-223" sheetId="47" r:id="rId23"/>
    <sheet name="КО2-223" sheetId="46" r:id="rId24"/>
    <sheet name="КУГ-224" sheetId="44" r:id="rId25"/>
    <sheet name="КО1-224" sheetId="43" r:id="rId26"/>
    <sheet name="СТ-23" sheetId="33" r:id="rId27"/>
    <sheet name="КУГ-231" sheetId="42" r:id="rId28"/>
    <sheet name="КО1-231" sheetId="41" r:id="rId29"/>
    <sheet name="КО2-231" sheetId="40" r:id="rId30"/>
    <sheet name="КУГ-232" sheetId="38" r:id="rId31"/>
    <sheet name="КО1-232" sheetId="39" r:id="rId32"/>
    <sheet name="КО2-232" sheetId="37" r:id="rId33"/>
    <sheet name="КУГ-233" sheetId="36" r:id="rId34"/>
    <sheet name="КО1-233" sheetId="35" r:id="rId35"/>
    <sheet name="КО2-233" sheetId="34" r:id="rId36"/>
    <sheet name="КУГ-234" sheetId="32" r:id="rId37"/>
    <sheet name="КО1-234" sheetId="31" r:id="rId38"/>
    <sheet name="СТ-24" sheetId="19" r:id="rId39"/>
    <sheet name="КУГ-241" sheetId="20" r:id="rId40"/>
    <sheet name="КО1-241" sheetId="21" r:id="rId41"/>
    <sheet name="КО2-241" sheetId="22" r:id="rId42"/>
    <sheet name="КУГ-242" sheetId="23" r:id="rId43"/>
    <sheet name="КО1-242" sheetId="24" r:id="rId44"/>
    <sheet name="КО2-242" sheetId="25" r:id="rId45"/>
    <sheet name="КУГ-243" sheetId="26" r:id="rId46"/>
    <sheet name="КО1-243" sheetId="27" r:id="rId47"/>
    <sheet name="КО2-243" sheetId="28" r:id="rId48"/>
    <sheet name="КУГ-244" sheetId="29" r:id="rId49"/>
    <sheet name="КО1-244" sheetId="30" r:id="rId50"/>
    <sheet name="СТ-25" sheetId="3" r:id="rId51"/>
    <sheet name="КУГ-251" sheetId="11" r:id="rId52"/>
    <sheet name="КО1-251" sheetId="17" r:id="rId53"/>
    <sheet name="КО2-251" sheetId="18" r:id="rId54"/>
    <sheet name="КУГ-252" sheetId="10" r:id="rId55"/>
    <sheet name="КО1-252" sheetId="15" r:id="rId56"/>
    <sheet name="КО2-252" sheetId="16" r:id="rId57"/>
    <sheet name="КУГ-253" sheetId="2" r:id="rId58"/>
    <sheet name="КО1-253" sheetId="12" r:id="rId59"/>
    <sheet name="КО2-253" sheetId="4" r:id="rId60"/>
    <sheet name="КУГ-254" sheetId="9" r:id="rId61"/>
    <sheet name="КО1-254" sheetId="13" r:id="rId62"/>
    <sheet name="Рейтинг старшин" sheetId="7" r:id="rId63"/>
    <sheet name="Рейтинг КУГ" sheetId="6" r:id="rId64"/>
    <sheet name="Рейтинг КО" sheetId="8" r:id="rId65"/>
  </sheets>
  <externalReferences>
    <externalReference r:id="rId66"/>
  </externalReferenc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4" i="57"/>
  <c r="D24" i="61"/>
  <c r="D24" i="64"/>
  <c r="D24" i="68"/>
  <c r="D24" i="55" l="1"/>
  <c r="D21"/>
  <c r="D24" i="44"/>
  <c r="D24" i="48"/>
  <c r="D24" i="51"/>
  <c r="D24" i="9" l="1"/>
  <c r="D24" i="2"/>
  <c r="D24" i="10"/>
  <c r="D24" i="11"/>
  <c r="D24" i="29"/>
  <c r="D24" i="26"/>
  <c r="D24" i="23"/>
  <c r="D24" i="20"/>
  <c r="D24" i="32"/>
  <c r="D24" i="36"/>
  <c r="D24" i="38"/>
  <c r="D24" i="42"/>
  <c r="D49" i="68"/>
  <c r="D47"/>
  <c r="D44"/>
  <c r="D42"/>
  <c r="D39"/>
  <c r="D36"/>
  <c r="D34"/>
  <c r="D32"/>
  <c r="D29"/>
  <c r="D27"/>
  <c r="D21"/>
  <c r="D18"/>
  <c r="D15"/>
  <c r="D12"/>
  <c r="D10"/>
  <c r="D7"/>
  <c r="D51" s="1"/>
  <c r="D38" i="67"/>
  <c r="D36"/>
  <c r="D33"/>
  <c r="D31"/>
  <c r="D28"/>
  <c r="D26"/>
  <c r="D23"/>
  <c r="D21"/>
  <c r="D18"/>
  <c r="D15"/>
  <c r="D12"/>
  <c r="D10"/>
  <c r="D7"/>
  <c r="D40" s="1"/>
  <c r="D38" i="66"/>
  <c r="D36"/>
  <c r="D33"/>
  <c r="D31"/>
  <c r="D28"/>
  <c r="D26"/>
  <c r="D23"/>
  <c r="D21"/>
  <c r="D18"/>
  <c r="D15"/>
  <c r="D12"/>
  <c r="D10"/>
  <c r="D7"/>
  <c r="D40" s="1"/>
  <c r="D38" i="65"/>
  <c r="D36"/>
  <c r="D33"/>
  <c r="D31"/>
  <c r="D28"/>
  <c r="D26"/>
  <c r="D23"/>
  <c r="D21"/>
  <c r="D18"/>
  <c r="D15"/>
  <c r="D12"/>
  <c r="D10"/>
  <c r="D7"/>
  <c r="D40" s="1"/>
  <c r="D49" i="64"/>
  <c r="D47"/>
  <c r="D44"/>
  <c r="D42"/>
  <c r="D39"/>
  <c r="D36"/>
  <c r="D34"/>
  <c r="D32"/>
  <c r="D29"/>
  <c r="D27"/>
  <c r="D21"/>
  <c r="D18"/>
  <c r="D15"/>
  <c r="D12"/>
  <c r="D10"/>
  <c r="D7"/>
  <c r="D51" s="1"/>
  <c r="D38" i="63"/>
  <c r="D36"/>
  <c r="D33"/>
  <c r="D31"/>
  <c r="D28"/>
  <c r="D26"/>
  <c r="D23"/>
  <c r="D21"/>
  <c r="D18"/>
  <c r="D15"/>
  <c r="D12"/>
  <c r="D10"/>
  <c r="D7"/>
  <c r="D40" s="1"/>
  <c r="D38" i="62"/>
  <c r="D36"/>
  <c r="D33"/>
  <c r="D31"/>
  <c r="D28"/>
  <c r="D26"/>
  <c r="D23"/>
  <c r="D21"/>
  <c r="D18"/>
  <c r="D15"/>
  <c r="D12"/>
  <c r="D10"/>
  <c r="D40" s="1"/>
  <c r="D7"/>
  <c r="D49" i="61"/>
  <c r="D47"/>
  <c r="D44"/>
  <c r="D42"/>
  <c r="D39"/>
  <c r="D36"/>
  <c r="D34"/>
  <c r="D32"/>
  <c r="D29"/>
  <c r="D27"/>
  <c r="D21"/>
  <c r="D18"/>
  <c r="D15"/>
  <c r="D12"/>
  <c r="D10"/>
  <c r="D7"/>
  <c r="D51" s="1"/>
  <c r="D38" i="60"/>
  <c r="D36"/>
  <c r="D33"/>
  <c r="D31"/>
  <c r="D28"/>
  <c r="D26"/>
  <c r="D23"/>
  <c r="D21"/>
  <c r="D18"/>
  <c r="D15"/>
  <c r="D12"/>
  <c r="D10"/>
  <c r="D40" s="1"/>
  <c r="D7"/>
  <c r="D38" i="59"/>
  <c r="D36"/>
  <c r="D33"/>
  <c r="D31"/>
  <c r="D28"/>
  <c r="D26"/>
  <c r="D23"/>
  <c r="D21"/>
  <c r="D18"/>
  <c r="D15"/>
  <c r="D12"/>
  <c r="D10"/>
  <c r="D7"/>
  <c r="D40" s="1"/>
  <c r="D44" i="58"/>
  <c r="D42"/>
  <c r="D39"/>
  <c r="D37"/>
  <c r="D34"/>
  <c r="D31"/>
  <c r="D28"/>
  <c r="D26"/>
  <c r="D23"/>
  <c r="D21"/>
  <c r="D18"/>
  <c r="D15"/>
  <c r="D12"/>
  <c r="D10"/>
  <c r="D7"/>
  <c r="D49" i="57"/>
  <c r="D47"/>
  <c r="D44"/>
  <c r="D42"/>
  <c r="D39"/>
  <c r="D36"/>
  <c r="D34"/>
  <c r="D32"/>
  <c r="D29"/>
  <c r="D27"/>
  <c r="D21"/>
  <c r="D18"/>
  <c r="D15"/>
  <c r="D12"/>
  <c r="D10"/>
  <c r="D7"/>
  <c r="D51" s="1"/>
  <c r="D38" i="56"/>
  <c r="D36"/>
  <c r="D33"/>
  <c r="D31"/>
  <c r="D28"/>
  <c r="D26"/>
  <c r="D23"/>
  <c r="D21"/>
  <c r="D18"/>
  <c r="D15"/>
  <c r="D12"/>
  <c r="D10"/>
  <c r="D40" s="1"/>
  <c r="D7"/>
  <c r="D49" i="55"/>
  <c r="D47"/>
  <c r="D44"/>
  <c r="D42"/>
  <c r="D39"/>
  <c r="D36"/>
  <c r="D34"/>
  <c r="D32"/>
  <c r="D29"/>
  <c r="D27"/>
  <c r="D18"/>
  <c r="D15"/>
  <c r="D12"/>
  <c r="D10"/>
  <c r="D7"/>
  <c r="D51" s="1"/>
  <c r="D38" i="54"/>
  <c r="D36"/>
  <c r="D33"/>
  <c r="D31"/>
  <c r="D28"/>
  <c r="D26"/>
  <c r="D23"/>
  <c r="D21"/>
  <c r="D18"/>
  <c r="D15"/>
  <c r="D12"/>
  <c r="D10"/>
  <c r="D7"/>
  <c r="D40" s="1"/>
  <c r="D38" i="53"/>
  <c r="D36"/>
  <c r="D33"/>
  <c r="D31"/>
  <c r="D28"/>
  <c r="D26"/>
  <c r="D23"/>
  <c r="D21"/>
  <c r="D18"/>
  <c r="D15"/>
  <c r="D12"/>
  <c r="D10"/>
  <c r="D7"/>
  <c r="D38" i="52"/>
  <c r="D36"/>
  <c r="D33"/>
  <c r="D31"/>
  <c r="D28"/>
  <c r="D26"/>
  <c r="D23"/>
  <c r="D21"/>
  <c r="D18"/>
  <c r="D15"/>
  <c r="D12"/>
  <c r="D10"/>
  <c r="D7"/>
  <c r="D49" i="51"/>
  <c r="D47"/>
  <c r="D44"/>
  <c r="D42"/>
  <c r="D39"/>
  <c r="D36"/>
  <c r="D34"/>
  <c r="D32"/>
  <c r="D29"/>
  <c r="D27"/>
  <c r="D21"/>
  <c r="D18"/>
  <c r="D15"/>
  <c r="D12"/>
  <c r="D10"/>
  <c r="D7"/>
  <c r="D38" i="50"/>
  <c r="D36"/>
  <c r="D33"/>
  <c r="D31"/>
  <c r="D28"/>
  <c r="D26"/>
  <c r="D23"/>
  <c r="D21"/>
  <c r="D18"/>
  <c r="D15"/>
  <c r="D12"/>
  <c r="D10"/>
  <c r="D7"/>
  <c r="D38" i="49"/>
  <c r="D36"/>
  <c r="D33"/>
  <c r="D31"/>
  <c r="D28"/>
  <c r="D26"/>
  <c r="D23"/>
  <c r="D21"/>
  <c r="D18"/>
  <c r="D15"/>
  <c r="D12"/>
  <c r="D10"/>
  <c r="D7"/>
  <c r="D49" i="48"/>
  <c r="D47"/>
  <c r="D44"/>
  <c r="D42"/>
  <c r="D39"/>
  <c r="D36"/>
  <c r="D34"/>
  <c r="D32"/>
  <c r="D29"/>
  <c r="D27"/>
  <c r="D21"/>
  <c r="D18"/>
  <c r="D15"/>
  <c r="D12"/>
  <c r="D10"/>
  <c r="D7"/>
  <c r="D51" s="1"/>
  <c r="D38" i="47"/>
  <c r="D36"/>
  <c r="D33"/>
  <c r="D31"/>
  <c r="D28"/>
  <c r="D26"/>
  <c r="D23"/>
  <c r="D21"/>
  <c r="D18"/>
  <c r="D15"/>
  <c r="D12"/>
  <c r="D10"/>
  <c r="D7"/>
  <c r="D38" i="46"/>
  <c r="D36"/>
  <c r="D33"/>
  <c r="D31"/>
  <c r="D28"/>
  <c r="D26"/>
  <c r="D23"/>
  <c r="D21"/>
  <c r="D18"/>
  <c r="D15"/>
  <c r="D12"/>
  <c r="D10"/>
  <c r="D7"/>
  <c r="D40" s="1"/>
  <c r="D44" i="45"/>
  <c r="D42"/>
  <c r="D39"/>
  <c r="D37"/>
  <c r="D34"/>
  <c r="D31"/>
  <c r="D28"/>
  <c r="D26"/>
  <c r="D23"/>
  <c r="D21"/>
  <c r="D18"/>
  <c r="D15"/>
  <c r="D12"/>
  <c r="D10"/>
  <c r="D7"/>
  <c r="D49" i="44"/>
  <c r="D47"/>
  <c r="D44"/>
  <c r="D42"/>
  <c r="D39"/>
  <c r="D36"/>
  <c r="D34"/>
  <c r="D32"/>
  <c r="D29"/>
  <c r="D27"/>
  <c r="D21"/>
  <c r="D18"/>
  <c r="D15"/>
  <c r="D12"/>
  <c r="D10"/>
  <c r="D7"/>
  <c r="D38" i="43"/>
  <c r="D36"/>
  <c r="D33"/>
  <c r="D31"/>
  <c r="D28"/>
  <c r="D26"/>
  <c r="D23"/>
  <c r="D21"/>
  <c r="D18"/>
  <c r="D15"/>
  <c r="D12"/>
  <c r="D10"/>
  <c r="D7"/>
  <c r="D49" i="42"/>
  <c r="D47"/>
  <c r="D44"/>
  <c r="D42"/>
  <c r="D39"/>
  <c r="D36"/>
  <c r="D34"/>
  <c r="D32"/>
  <c r="D29"/>
  <c r="D27"/>
  <c r="D21"/>
  <c r="D18"/>
  <c r="D15"/>
  <c r="D12"/>
  <c r="D10"/>
  <c r="D7"/>
  <c r="D38" i="41"/>
  <c r="D36"/>
  <c r="D33"/>
  <c r="D31"/>
  <c r="D28"/>
  <c r="D26"/>
  <c r="D23"/>
  <c r="D21"/>
  <c r="D18"/>
  <c r="D15"/>
  <c r="D12"/>
  <c r="D10"/>
  <c r="D7"/>
  <c r="D40" s="1"/>
  <c r="D38" i="40"/>
  <c r="D36"/>
  <c r="D33"/>
  <c r="D31"/>
  <c r="D28"/>
  <c r="D26"/>
  <c r="D23"/>
  <c r="D21"/>
  <c r="D18"/>
  <c r="D15"/>
  <c r="D12"/>
  <c r="D10"/>
  <c r="D7"/>
  <c r="D38" i="39"/>
  <c r="D36"/>
  <c r="D33"/>
  <c r="D31"/>
  <c r="D28"/>
  <c r="D26"/>
  <c r="D23"/>
  <c r="D21"/>
  <c r="D18"/>
  <c r="D15"/>
  <c r="D12"/>
  <c r="D10"/>
  <c r="D7"/>
  <c r="D40" s="1"/>
  <c r="D49" i="38"/>
  <c r="D47"/>
  <c r="D44"/>
  <c r="D42"/>
  <c r="D39"/>
  <c r="D36"/>
  <c r="D34"/>
  <c r="D32"/>
  <c r="D29"/>
  <c r="D27"/>
  <c r="D21"/>
  <c r="D18"/>
  <c r="D15"/>
  <c r="D12"/>
  <c r="D10"/>
  <c r="D7"/>
  <c r="D38" i="37"/>
  <c r="D36"/>
  <c r="D33"/>
  <c r="D31"/>
  <c r="D28"/>
  <c r="D26"/>
  <c r="D23"/>
  <c r="D21"/>
  <c r="D18"/>
  <c r="D15"/>
  <c r="D12"/>
  <c r="D10"/>
  <c r="D40" s="1"/>
  <c r="D7"/>
  <c r="D49" i="36"/>
  <c r="D47"/>
  <c r="D44"/>
  <c r="D42"/>
  <c r="D39"/>
  <c r="D36"/>
  <c r="D34"/>
  <c r="D32"/>
  <c r="D29"/>
  <c r="D27"/>
  <c r="D21"/>
  <c r="D18"/>
  <c r="D15"/>
  <c r="D12"/>
  <c r="D10"/>
  <c r="D7"/>
  <c r="D38" i="35"/>
  <c r="D36"/>
  <c r="D33"/>
  <c r="D31"/>
  <c r="D28"/>
  <c r="D26"/>
  <c r="D23"/>
  <c r="D21"/>
  <c r="D18"/>
  <c r="D15"/>
  <c r="D12"/>
  <c r="D10"/>
  <c r="D7"/>
  <c r="D38" i="34"/>
  <c r="D36"/>
  <c r="D33"/>
  <c r="D31"/>
  <c r="D28"/>
  <c r="D26"/>
  <c r="D23"/>
  <c r="D21"/>
  <c r="D18"/>
  <c r="D15"/>
  <c r="D12"/>
  <c r="D10"/>
  <c r="D7"/>
  <c r="D44" i="33"/>
  <c r="D42"/>
  <c r="D39"/>
  <c r="D37"/>
  <c r="D34"/>
  <c r="D31"/>
  <c r="D28"/>
  <c r="D26"/>
  <c r="D23"/>
  <c r="D21"/>
  <c r="D18"/>
  <c r="D15"/>
  <c r="D12"/>
  <c r="D10"/>
  <c r="D7"/>
  <c r="D49" i="32"/>
  <c r="D47"/>
  <c r="D44"/>
  <c r="D42"/>
  <c r="D39"/>
  <c r="D36"/>
  <c r="D34"/>
  <c r="D32"/>
  <c r="D29"/>
  <c r="D27"/>
  <c r="D21"/>
  <c r="D18"/>
  <c r="D15"/>
  <c r="D12"/>
  <c r="D10"/>
  <c r="D7"/>
  <c r="D38" i="31"/>
  <c r="D36"/>
  <c r="D33"/>
  <c r="D31"/>
  <c r="D28"/>
  <c r="D26"/>
  <c r="D23"/>
  <c r="D21"/>
  <c r="D18"/>
  <c r="D15"/>
  <c r="D12"/>
  <c r="D10"/>
  <c r="D40" s="1"/>
  <c r="D7"/>
  <c r="D38" i="30"/>
  <c r="D36"/>
  <c r="D33"/>
  <c r="D31"/>
  <c r="D28"/>
  <c r="D26"/>
  <c r="D23"/>
  <c r="D21"/>
  <c r="D18"/>
  <c r="D15"/>
  <c r="D12"/>
  <c r="D10"/>
  <c r="D7"/>
  <c r="D49" i="29"/>
  <c r="D47"/>
  <c r="D44"/>
  <c r="D42"/>
  <c r="D39"/>
  <c r="D36"/>
  <c r="D34"/>
  <c r="D32"/>
  <c r="D29"/>
  <c r="D27"/>
  <c r="D21"/>
  <c r="D18"/>
  <c r="D15"/>
  <c r="D12"/>
  <c r="D10"/>
  <c r="D7"/>
  <c r="D38" i="28"/>
  <c r="D36"/>
  <c r="D33"/>
  <c r="D31"/>
  <c r="D28"/>
  <c r="D26"/>
  <c r="D23"/>
  <c r="D21"/>
  <c r="D18"/>
  <c r="D15"/>
  <c r="D12"/>
  <c r="D10"/>
  <c r="D7"/>
  <c r="D38" i="27"/>
  <c r="D36"/>
  <c r="D33"/>
  <c r="D31"/>
  <c r="D28"/>
  <c r="D26"/>
  <c r="D23"/>
  <c r="D21"/>
  <c r="D18"/>
  <c r="D15"/>
  <c r="D12"/>
  <c r="D10"/>
  <c r="D7"/>
  <c r="D49" i="26"/>
  <c r="D47"/>
  <c r="D44"/>
  <c r="D42"/>
  <c r="D39"/>
  <c r="D36"/>
  <c r="D34"/>
  <c r="D32"/>
  <c r="D29"/>
  <c r="D27"/>
  <c r="D21"/>
  <c r="D18"/>
  <c r="D15"/>
  <c r="D12"/>
  <c r="D10"/>
  <c r="D7"/>
  <c r="D38" i="25"/>
  <c r="D36"/>
  <c r="D33"/>
  <c r="D31"/>
  <c r="D28"/>
  <c r="D26"/>
  <c r="D23"/>
  <c r="D21"/>
  <c r="D18"/>
  <c r="D15"/>
  <c r="D12"/>
  <c r="D10"/>
  <c r="D7"/>
  <c r="D38" i="24"/>
  <c r="D36"/>
  <c r="D33"/>
  <c r="D31"/>
  <c r="D28"/>
  <c r="D26"/>
  <c r="D23"/>
  <c r="D21"/>
  <c r="D18"/>
  <c r="D15"/>
  <c r="D12"/>
  <c r="D10"/>
  <c r="D7"/>
  <c r="D49" i="23"/>
  <c r="D47"/>
  <c r="D44"/>
  <c r="D42"/>
  <c r="D39"/>
  <c r="D36"/>
  <c r="D34"/>
  <c r="D32"/>
  <c r="D29"/>
  <c r="D27"/>
  <c r="D21"/>
  <c r="D18"/>
  <c r="D15"/>
  <c r="D12"/>
  <c r="D10"/>
  <c r="D7"/>
  <c r="D38" i="22"/>
  <c r="D36"/>
  <c r="D33"/>
  <c r="D31"/>
  <c r="D28"/>
  <c r="D26"/>
  <c r="D23"/>
  <c r="D21"/>
  <c r="D18"/>
  <c r="D15"/>
  <c r="D12"/>
  <c r="D10"/>
  <c r="D7"/>
  <c r="D38" i="21"/>
  <c r="D36"/>
  <c r="D33"/>
  <c r="D31"/>
  <c r="D28"/>
  <c r="D26"/>
  <c r="D23"/>
  <c r="D21"/>
  <c r="D18"/>
  <c r="D15"/>
  <c r="D12"/>
  <c r="D10"/>
  <c r="D7"/>
  <c r="D49" i="20"/>
  <c r="D47"/>
  <c r="D44"/>
  <c r="D42"/>
  <c r="D39"/>
  <c r="D36"/>
  <c r="D34"/>
  <c r="D32"/>
  <c r="D29"/>
  <c r="D27"/>
  <c r="D21"/>
  <c r="D18"/>
  <c r="D15"/>
  <c r="D12"/>
  <c r="D10"/>
  <c r="D7"/>
  <c r="D44" i="19"/>
  <c r="D42"/>
  <c r="D39"/>
  <c r="D37"/>
  <c r="D34"/>
  <c r="D31"/>
  <c r="D28"/>
  <c r="D26"/>
  <c r="D23"/>
  <c r="D21"/>
  <c r="D18"/>
  <c r="D15"/>
  <c r="D12"/>
  <c r="D10"/>
  <c r="D7"/>
  <c r="D38" i="18"/>
  <c r="D36"/>
  <c r="D33"/>
  <c r="D31"/>
  <c r="D28"/>
  <c r="D26"/>
  <c r="D23"/>
  <c r="D21"/>
  <c r="D18"/>
  <c r="D15"/>
  <c r="D12"/>
  <c r="D10"/>
  <c r="D40" s="1"/>
  <c r="D7"/>
  <c r="D38" i="17"/>
  <c r="D36"/>
  <c r="D33"/>
  <c r="D31"/>
  <c r="D28"/>
  <c r="D26"/>
  <c r="D23"/>
  <c r="D21"/>
  <c r="D18"/>
  <c r="D15"/>
  <c r="D12"/>
  <c r="D10"/>
  <c r="D7"/>
  <c r="D38" i="16"/>
  <c r="D36"/>
  <c r="D33"/>
  <c r="D31"/>
  <c r="D28"/>
  <c r="D26"/>
  <c r="D23"/>
  <c r="D21"/>
  <c r="D18"/>
  <c r="D15"/>
  <c r="D12"/>
  <c r="D10"/>
  <c r="D7"/>
  <c r="D38" i="15"/>
  <c r="D36"/>
  <c r="D33"/>
  <c r="D31"/>
  <c r="D28"/>
  <c r="D26"/>
  <c r="D23"/>
  <c r="D21"/>
  <c r="D18"/>
  <c r="D15"/>
  <c r="D12"/>
  <c r="D10"/>
  <c r="D7"/>
  <c r="D38" i="13"/>
  <c r="D36"/>
  <c r="D33"/>
  <c r="D31"/>
  <c r="D28"/>
  <c r="D26"/>
  <c r="D23"/>
  <c r="D21"/>
  <c r="D18"/>
  <c r="D15"/>
  <c r="D12"/>
  <c r="D10"/>
  <c r="D7"/>
  <c r="D38" i="12"/>
  <c r="D36"/>
  <c r="D33"/>
  <c r="D31"/>
  <c r="D28"/>
  <c r="D26"/>
  <c r="D23"/>
  <c r="D21"/>
  <c r="D18"/>
  <c r="D15"/>
  <c r="D12"/>
  <c r="D10"/>
  <c r="D7"/>
  <c r="D40" s="1"/>
  <c r="D49" i="11"/>
  <c r="D47"/>
  <c r="D44"/>
  <c r="D42"/>
  <c r="D39"/>
  <c r="D36"/>
  <c r="D34"/>
  <c r="D32"/>
  <c r="D29"/>
  <c r="D27"/>
  <c r="D21"/>
  <c r="D18"/>
  <c r="D15"/>
  <c r="D12"/>
  <c r="D10"/>
  <c r="D7"/>
  <c r="D49" i="10"/>
  <c r="D47"/>
  <c r="D44"/>
  <c r="D42"/>
  <c r="D39"/>
  <c r="D36"/>
  <c r="D34"/>
  <c r="D32"/>
  <c r="D29"/>
  <c r="D27"/>
  <c r="D21"/>
  <c r="D18"/>
  <c r="D15"/>
  <c r="D12"/>
  <c r="D10"/>
  <c r="D7"/>
  <c r="D49" i="9"/>
  <c r="D47"/>
  <c r="D44"/>
  <c r="D42"/>
  <c r="D39"/>
  <c r="D36"/>
  <c r="D34"/>
  <c r="D32"/>
  <c r="D29"/>
  <c r="D27"/>
  <c r="D21"/>
  <c r="D18"/>
  <c r="D15"/>
  <c r="D12"/>
  <c r="D10"/>
  <c r="D7"/>
  <c r="D46" i="58" l="1"/>
  <c r="D40" i="13"/>
  <c r="D40" i="15"/>
  <c r="D40" i="16"/>
  <c r="D40" i="17"/>
  <c r="D40" i="43"/>
  <c r="D51" i="44"/>
  <c r="D40" i="47"/>
  <c r="D40" i="49"/>
  <c r="D40" i="50"/>
  <c r="D51" i="51"/>
  <c r="D40" i="52"/>
  <c r="D40" i="53"/>
  <c r="D46" i="45"/>
  <c r="D40" i="30"/>
  <c r="D51" i="29"/>
  <c r="D40" i="28"/>
  <c r="D40" i="27"/>
  <c r="D40" i="25"/>
  <c r="D40" i="24"/>
  <c r="D40" i="22"/>
  <c r="D40" i="21"/>
  <c r="D46" i="19"/>
  <c r="D51" i="26"/>
  <c r="D51" i="23"/>
  <c r="D51" i="20"/>
  <c r="D51" i="32"/>
  <c r="D40" i="34"/>
  <c r="D40" i="35"/>
  <c r="D51" i="38"/>
  <c r="D40" i="40"/>
  <c r="D51" i="36"/>
  <c r="D51" i="42"/>
  <c r="D46" i="33"/>
  <c r="D51" i="9"/>
  <c r="D51" i="10"/>
  <c r="D51" i="11"/>
  <c r="E44" i="8" l="1"/>
  <c r="E42"/>
  <c r="E38"/>
  <c r="E37"/>
  <c r="E23"/>
  <c r="E20"/>
  <c r="E19"/>
  <c r="E18"/>
  <c r="E17"/>
  <c r="E16"/>
  <c r="E15"/>
  <c r="F15" s="1"/>
  <c r="E14"/>
  <c r="F12"/>
  <c r="E12"/>
  <c r="F11"/>
  <c r="E11"/>
  <c r="F10"/>
  <c r="E10"/>
  <c r="F29" i="6"/>
  <c r="E29"/>
  <c r="F28"/>
  <c r="E28"/>
  <c r="F27"/>
  <c r="E27"/>
  <c r="F26"/>
  <c r="E26"/>
  <c r="F25"/>
  <c r="E25"/>
  <c r="F24"/>
  <c r="E24"/>
  <c r="F23"/>
  <c r="E23"/>
  <c r="F22"/>
  <c r="E22"/>
  <c r="F21"/>
  <c r="E21"/>
  <c r="F20"/>
  <c r="E20"/>
  <c r="F19"/>
  <c r="E19"/>
  <c r="F18"/>
  <c r="E18"/>
  <c r="F17"/>
  <c r="E17"/>
  <c r="F16"/>
  <c r="E16"/>
  <c r="F15"/>
  <c r="E15"/>
  <c r="F14"/>
  <c r="E14"/>
  <c r="F13"/>
  <c r="E13"/>
  <c r="F12"/>
  <c r="E12"/>
  <c r="F11"/>
  <c r="E11"/>
  <c r="F10"/>
  <c r="E10"/>
  <c r="E14" i="7"/>
  <c r="E13"/>
  <c r="E12"/>
  <c r="E11"/>
  <c r="E10"/>
  <c r="F10" s="1"/>
  <c r="D38" i="4"/>
  <c r="D36"/>
  <c r="D31"/>
  <c r="D33"/>
  <c r="D23"/>
  <c r="D28"/>
  <c r="D26"/>
  <c r="D21"/>
  <c r="D18"/>
  <c r="D10"/>
  <c r="D15"/>
  <c r="D12"/>
  <c r="D7"/>
  <c r="D7" i="3"/>
  <c r="D7" i="2"/>
  <c r="D18"/>
  <c r="D15"/>
  <c r="D49"/>
  <c r="D47"/>
  <c r="D44"/>
  <c r="D42"/>
  <c r="D39"/>
  <c r="F17" i="8" l="1"/>
  <c r="F19"/>
  <c r="F23"/>
  <c r="F38"/>
  <c r="F44"/>
  <c r="F36"/>
  <c r="F14"/>
  <c r="F16"/>
  <c r="F18"/>
  <c r="F20"/>
  <c r="F37"/>
  <c r="F12" i="7"/>
  <c r="F14"/>
  <c r="F21" i="8"/>
  <c r="F24"/>
  <c r="F26"/>
  <c r="F28"/>
  <c r="F30"/>
  <c r="F32"/>
  <c r="F34"/>
  <c r="F39"/>
  <c r="F41"/>
  <c r="F42"/>
  <c r="F45"/>
  <c r="F46"/>
  <c r="F11" i="7"/>
  <c r="F13"/>
  <c r="F13" i="8"/>
  <c r="F22"/>
  <c r="F25"/>
  <c r="F27"/>
  <c r="F29"/>
  <c r="F31"/>
  <c r="F33"/>
  <c r="F35"/>
  <c r="F40"/>
  <c r="F43"/>
  <c r="D40" i="4"/>
  <c r="D36" i="2"/>
  <c r="D34"/>
  <c r="D32"/>
  <c r="D29"/>
  <c r="D27"/>
  <c r="D18" i="3"/>
  <c r="D21" i="2"/>
  <c r="D12"/>
  <c r="D10" i="3"/>
  <c r="D10" i="2"/>
  <c r="D26" i="3"/>
  <c r="D44"/>
  <c r="D42"/>
  <c r="D39"/>
  <c r="D37"/>
  <c r="D34"/>
  <c r="D31"/>
  <c r="D28"/>
  <c r="D23"/>
  <c r="D21"/>
  <c r="D15"/>
  <c r="D12"/>
  <c r="D51" i="2" l="1"/>
  <c r="D46" i="3"/>
</calcChain>
</file>

<file path=xl/sharedStrings.xml><?xml version="1.0" encoding="utf-8"?>
<sst xmlns="http://schemas.openxmlformats.org/spreadsheetml/2006/main" count="5079" uniqueCount="354">
  <si>
    <t>ВЕДОМОСТЬ</t>
  </si>
  <si>
    <t>индивидуальной оценки</t>
  </si>
  <si>
    <t xml:space="preserve">командира 2-ого отделения 253 учебной группы сержанта Бабаева Имама Низамиевича </t>
  </si>
  <si>
    <t>№</t>
  </si>
  <si>
    <t>п/п</t>
  </si>
  <si>
    <t>1.</t>
  </si>
  <si>
    <t xml:space="preserve">Результаты промежуточной аттестации </t>
  </si>
  <si>
    <t>2.</t>
  </si>
  <si>
    <t>Наличие академических задолженностей</t>
  </si>
  <si>
    <t>3.</t>
  </si>
  <si>
    <t>Наличие текущих задолженностей</t>
  </si>
  <si>
    <t>4.</t>
  </si>
  <si>
    <t>Замечания от УМО, преподавателей и старших начальников в ходе проведения занятий и самостоятельной работы</t>
  </si>
  <si>
    <t>5.</t>
  </si>
  <si>
    <t>Наличие ПРО, ПРЕ, грубых дисциплинарных проступков</t>
  </si>
  <si>
    <t>6.</t>
  </si>
  <si>
    <t xml:space="preserve">Дисциплинарная практика </t>
  </si>
  <si>
    <t>7.</t>
  </si>
  <si>
    <t>Знание обстановки в подразделении с докладом начальнику факультета (курса) по возможным отклонениям, ведение книжки сержанта</t>
  </si>
  <si>
    <t>Обстановку в подразделении знает и докладывает НФ (НК), информация в книжке сержанта актуальная</t>
  </si>
  <si>
    <t>8.</t>
  </si>
  <si>
    <t>Подведение итогов в подразделении</t>
  </si>
  <si>
    <t xml:space="preserve">Подведение итогов в подразделении актуально, поставлены конкретные задачи и проводится в установленное время </t>
  </si>
  <si>
    <t>9.</t>
  </si>
  <si>
    <t>Несение службы наряда, назначенного от подразделения</t>
  </si>
  <si>
    <t>10.</t>
  </si>
  <si>
    <t>Соблюдение требований безопасности</t>
  </si>
  <si>
    <t>11.</t>
  </si>
  <si>
    <t>Соблюдение элементов распорядка дня</t>
  </si>
  <si>
    <t>12.</t>
  </si>
  <si>
    <t>Состояние материальных средств
(в том числе оружия)</t>
  </si>
  <si>
    <t>Материальные средства подразделения в наличии, исправны, обслужены, хранятся правильно</t>
  </si>
  <si>
    <t>13.</t>
  </si>
  <si>
    <t>Успеваемость по физической подготовке (культуре) командира отделения (по итогам промежуточной аттестации)</t>
  </si>
  <si>
    <t>Итоговая сумма баллов:</t>
  </si>
  <si>
    <t xml:space="preserve">Начальник курса </t>
  </si>
  <si>
    <t>майор</t>
  </si>
  <si>
    <t>А. Алексахин</t>
  </si>
  <si>
    <t>командира 253 учебной группы старшего сержанта Творогова Владимира Андреевича</t>
  </si>
  <si>
    <t>Организация учебных занятий</t>
  </si>
  <si>
    <t>Подразделение прибыло на занятие своевременно; дежурный по аудитории назначен; ЖУУЗ и классная доска оформлены; литература, конспекты, ПЭВМ (по необходимости) получены; внутренний порядок в аудитории поддерживается</t>
  </si>
  <si>
    <t>Организация самостоятельной работы</t>
  </si>
  <si>
    <t>Количество баллов</t>
  </si>
  <si>
    <t>Распределение увольнений</t>
  </si>
  <si>
    <t>Распределение нарядов, уборщиков по территории и расположению</t>
  </si>
  <si>
    <t>14.</t>
  </si>
  <si>
    <t>15.</t>
  </si>
  <si>
    <t>16.</t>
  </si>
  <si>
    <t>17.</t>
  </si>
  <si>
    <t>Оценка по физической подготовке (культуре) - 5</t>
  </si>
  <si>
    <t>старшины 25 курса сержанта Иманова Жалгаса Тимуровича</t>
  </si>
  <si>
    <t>Организация подготовки суточного наряда назначенного от подразделения</t>
  </si>
  <si>
    <t>Элементы распорядка дня соблюдаются</t>
  </si>
  <si>
    <t>Успеваемость по физической подготовке (культуре) старшины 
(по итогам промежуточной аттестации)</t>
  </si>
  <si>
    <t>Оценка служебной деятельности</t>
  </si>
  <si>
    <t>Результаты служебной деятельности</t>
  </si>
  <si>
    <t>ПРО, ПРЕ, ГДП в подразделении и старшины курса отсутствуют</t>
  </si>
  <si>
    <t>Дисциплинарная практика к подчиненному личному составу ведется</t>
  </si>
  <si>
    <t>Имеются менее 10% задолжностей в подразделении или у старшины курса</t>
  </si>
  <si>
    <t>Имеются замечания</t>
  </si>
  <si>
    <t>Обстановкой владеет, доклады представляет, книжка сержантов актуальна</t>
  </si>
  <si>
    <t>Наряды и уборщики распределены равномерно</t>
  </si>
  <si>
    <t>Наряды распределены равномерно, уборщики не равномерно</t>
  </si>
  <si>
    <t>Подготовка проведена, на разводе замечаний нет</t>
  </si>
  <si>
    <t>Замечаний не более пяти, оценка старшине не ниже «хорошо»</t>
  </si>
  <si>
    <t>Нарушений ТБ, приведших к травматизму л/с нет</t>
  </si>
  <si>
    <t>Не более пяти нарушений распорядка дня, срывов мероприятий не допущено</t>
  </si>
  <si>
    <t xml:space="preserve">Не выполнены предъявляемые критерии </t>
  </si>
  <si>
    <t>Оценка по физической подготовке (культуре) - 4</t>
  </si>
  <si>
    <t>Увольнения между учебными группами распределены равномерно</t>
  </si>
  <si>
    <t>Имеются академические задолжности в учебной группе или у КУГ</t>
  </si>
  <si>
    <t>В подразделении и у старшины курса отсутствуют академические задолжности</t>
  </si>
  <si>
    <t>Имеются менее 20% текущих задолжностей в подразделении или у КУГ</t>
  </si>
  <si>
    <t>Замечания в подразделении и у КУГ отсутствуют</t>
  </si>
  <si>
    <t>ПРО, ПРЕ отсутствуют, имеются не снятые взыскания за ГДП в подразделении, у КУГ отсутствуют</t>
  </si>
  <si>
    <t>Подведение итогов актуально, поставлены конкретные задачи и проводится в установленное время</t>
  </si>
  <si>
    <t>Увольнения распределяются не равномерно</t>
  </si>
  <si>
    <t>Подразделение прибыло на занятие своевременно; дежурный по аудитории назначен; литература, конспекты, ПЭВМ (по необходимости) получены; ЖУУЗ или классная доска оформлены не своевременно; или имеются отклонения по  внутреннему порядку в аудитории</t>
  </si>
  <si>
    <t xml:space="preserve">Подразделение опоздало на занятие; или ЖУУЗ и классная доска не оформлены; литература, конспекты, ПЭВМ (по необходимости) не получены; или внутренний порядок в аудитории не поддерживается </t>
  </si>
  <si>
    <t>Подразделение прибыло на СР своевременно; дежурный по аудитории назначен; ЖУУЗ и классная доска оформлены; внутренний порядок в аудитории поддерживается; литература, ПЭВМ (не менее 30%) получены; журнал КУГ, план СР оформлены и выполняются; перерывы организованы</t>
  </si>
  <si>
    <t>Подразделение прибыло на СР своевременно; дежурный по аудитории назначен; ЖУУЗ или классная доска заполнены не своевременно; имеются отклонения по  внутреннему порядку в аудитории; ПЭВМ (не менее 10%) получены; литература получена в недостаточном количестве; журнал КУГ, план СР оформлены не в полном объеме или не выполняется; перерывы организованы</t>
  </si>
  <si>
    <t>Подразделение опоздала на СР; или дежурный по аудитории не назначен; или ЖУУЗ и классная доска не оформлены; или внутренний порядок в аудитории не поддерживается; или литература, ПЭВМ не получены; или журнал КУГ, план СР не оформлены и не выполняются; или личный состав спит; или перерывы не организованы</t>
  </si>
  <si>
    <t>Средний балл подразделения ≥ 4,5
Средний балл командира отделения ≥ 4,0</t>
  </si>
  <si>
    <t>Средний балл подразделения ≥ 4,0
Средний балл командира отделения ≥ 4,0</t>
  </si>
  <si>
    <t>Средний балл подразделения &lt; 4,0
Средний балл командира отделения &lt; 4,0</t>
  </si>
  <si>
    <t>Академические задолженности в подразделении и у командира учебной группы  отсутствуют</t>
  </si>
  <si>
    <t>Академические задолженности в подразделении или у командира учебной группы  имеются</t>
  </si>
  <si>
    <t>Текущие задолженности в подразделении и у командира учебной группы  отсутствуют</t>
  </si>
  <si>
    <t xml:space="preserve">Текущие задолженности в подразделении менее 20% и у командира учебной группы отсутствуют </t>
  </si>
  <si>
    <t xml:space="preserve">Текущие задолженности в подразделении более 20% или имеется у командира учебной группы </t>
  </si>
  <si>
    <t xml:space="preserve">Отсутствуют замечания в подразделении или у командира отделения </t>
  </si>
  <si>
    <t>Наличие одного замечания в подразделении и отсутствует у командира отделения</t>
  </si>
  <si>
    <t>Наличие двух и более замечаний в подразделении или у командира отделения</t>
  </si>
  <si>
    <t>ПРО, ПРЕ, ГДП в подразделении и у командира отделения отсутствуют</t>
  </si>
  <si>
    <t>ПРО, ПРЕ отсутствуют, имеются не снятые взыскания за ГДП в подразделении, у командира отделения отсутствуют</t>
  </si>
  <si>
    <t>Совершено ПРО, ПРЕ, ГДП в подразделении или командиром отделения, или допущено сокрытие</t>
  </si>
  <si>
    <t>Реализует дисциплинарную практику к подчинённому личному составу и не имеет дисциплинарных взысканий</t>
  </si>
  <si>
    <t>Не реализует дисциплинарную практику к подчинённому личному составу или имеет дисциплинарные взыскания</t>
  </si>
  <si>
    <t>Обстановку в подразделении знает и докладывает НФ (НК), информация в книжке сержанта не актуальная</t>
  </si>
  <si>
    <t>Обстановкой в подразделении не владеет, или доклад НФ (НК) не представлен; и информация в книжке сержанта не актуальная</t>
  </si>
  <si>
    <t xml:space="preserve">Подведение итогов в подразделении не актуально, не поставлены задачи или не проводится </t>
  </si>
  <si>
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</si>
  <si>
    <t>Выявлено не более одного замечания у личного состава наряда, назначенного от подразделения, командир отделения за качество несения службы оценен не ниже «хорошо»</t>
  </si>
  <si>
    <t>Отстранен от несения службы или выявлено более одного замечания у личного состава наряда, назначенного от подразделения, или командир отделения за качество несения службы оценен ниже «хорошо»</t>
  </si>
  <si>
    <t>Отсутствуют нарушения ТБ, которые привели к травматизму личного состава в подразделении</t>
  </si>
  <si>
    <t>Имелись нарушения ТБ, которые привели к травматизму личного состава в подразделении</t>
  </si>
  <si>
    <t>Допущено не более трех нарушений элементов распорядка дня, которые не привели к срыву мероприятия в целом</t>
  </si>
  <si>
    <t>Допущено более трёх нарушений элементов распорядка дня, которые не привели к срыву мероприятия в целом, или допущен срыв, или нарушение командиром отделения</t>
  </si>
  <si>
    <t>Оценка по физической подготовке (культуре) 5</t>
  </si>
  <si>
    <t>Оценка по физической подготовке (культуре) 4</t>
  </si>
  <si>
    <t xml:space="preserve">Не выполнены критерии </t>
  </si>
  <si>
    <t>СВОДНАЯ ВЕДОМОСТЬ</t>
  </si>
  <si>
    <t>определения рейтинговой оценки служебной</t>
  </si>
  <si>
    <t xml:space="preserve"> деятельности старшин </t>
  </si>
  <si>
    <t>факультета №2</t>
  </si>
  <si>
    <t>(подразделение)</t>
  </si>
  <si>
    <t>Должность</t>
  </si>
  <si>
    <t>Воинское звание</t>
  </si>
  <si>
    <t>Фамилия, имя, отчество</t>
  </si>
  <si>
    <t xml:space="preserve">Количество баллов </t>
  </si>
  <si>
    <t>Общее место</t>
  </si>
  <si>
    <t>старшина 21 курса</t>
  </si>
  <si>
    <t>рядовой</t>
  </si>
  <si>
    <t>Молдованов 
Илья Александрович</t>
  </si>
  <si>
    <t>старшина 22 курса</t>
  </si>
  <si>
    <t>старшина</t>
  </si>
  <si>
    <t>Тимашов
Игорь Сергеевич</t>
  </si>
  <si>
    <t>старшина 23 курса</t>
  </si>
  <si>
    <t>младший 
сержант</t>
  </si>
  <si>
    <t>Земблинов 
Данила Михайлович</t>
  </si>
  <si>
    <t>старшина 24 курса</t>
  </si>
  <si>
    <t>сержант</t>
  </si>
  <si>
    <t>Руткаускас
Максим Викторович</t>
  </si>
  <si>
    <t>старшина 25 курса</t>
  </si>
  <si>
    <t>Иманов
Жалгас Тимурович</t>
  </si>
  <si>
    <t>Начальник факультета №2</t>
  </si>
  <si>
    <t>полковник                              А.Осинцев</t>
  </si>
  <si>
    <t>"    " октября 2026 г.</t>
  </si>
  <si>
    <t xml:space="preserve"> деятельности командиров учебных групп</t>
  </si>
  <si>
    <t>командир 211 учебной группы</t>
  </si>
  <si>
    <t>младший
сержант</t>
  </si>
  <si>
    <t>Алискеров 
Тагир Нажмудинович</t>
  </si>
  <si>
    <t>командир 212 учебной группы</t>
  </si>
  <si>
    <t>Данилов 
Денис Анатольевич</t>
  </si>
  <si>
    <t>командир 213 учебной группы</t>
  </si>
  <si>
    <t>Окружко
Константин Олегович</t>
  </si>
  <si>
    <t>командир 214 учебной группы</t>
  </si>
  <si>
    <t>ефрейтор</t>
  </si>
  <si>
    <t>Титов
 Виталий Олегович</t>
  </si>
  <si>
    <t>командир 221 учебной группы</t>
  </si>
  <si>
    <t>младший сержант</t>
  </si>
  <si>
    <t xml:space="preserve">Сутормин
 Александр Романович </t>
  </si>
  <si>
    <t>командир 222 учебной группы</t>
  </si>
  <si>
    <t>Музыкин
Иван Евгеньевич</t>
  </si>
  <si>
    <t>командир 223 учебной группы</t>
  </si>
  <si>
    <t>Толстиков
Андрей Денисович</t>
  </si>
  <si>
    <t>командир 224 учебной группы</t>
  </si>
  <si>
    <t>Мазур
Глеб Валентинович</t>
  </si>
  <si>
    <t>командир 231 учебной группы</t>
  </si>
  <si>
    <t>Кривоконев
 Станислав Алексеевич</t>
  </si>
  <si>
    <t>командир 232 учебной группы</t>
  </si>
  <si>
    <t>Кашлев 
Всеволод Константинович</t>
  </si>
  <si>
    <t>командир 233 учебной группы</t>
  </si>
  <si>
    <t>Беспалов
Дмитрий Александрович</t>
  </si>
  <si>
    <t>командир 234 учебной группы</t>
  </si>
  <si>
    <t>Агафонов
Максим Сергеевич</t>
  </si>
  <si>
    <t>командир 241 учебной группы</t>
  </si>
  <si>
    <t>Молочуев
Артём  Давидович</t>
  </si>
  <si>
    <t>командир 242 учебной группы</t>
  </si>
  <si>
    <t>Попов 
Артём Максимович</t>
  </si>
  <si>
    <t>командир 243 учебной группы</t>
  </si>
  <si>
    <t xml:space="preserve">Прокофьев
 Кирилл Игоревич </t>
  </si>
  <si>
    <t>командир 244 учебной группы</t>
  </si>
  <si>
    <t>Дрягин 
Дмитрий Сергеевич</t>
  </si>
  <si>
    <t>командир 251 учебной группы</t>
  </si>
  <si>
    <t>Исмаганбетов
Ерлан Серигалиевич</t>
  </si>
  <si>
    <t>командир 252 учебной группы</t>
  </si>
  <si>
    <t>Перевозников 
Денис Андреевич</t>
  </si>
  <si>
    <t>командир 253 учебной группы</t>
  </si>
  <si>
    <t>старший
 сержант</t>
  </si>
  <si>
    <t>Творогов
 Владимир Андреевич</t>
  </si>
  <si>
    <t>командир 254 учебной группы</t>
  </si>
  <si>
    <t>Красов
Иван Сергеевич</t>
  </si>
  <si>
    <t xml:space="preserve"> деятельности командиров отделений</t>
  </si>
  <si>
    <t xml:space="preserve">командир 1-ого отделения  211 учебной группы  </t>
  </si>
  <si>
    <t>Авксентьев Семен Михайлович</t>
  </si>
  <si>
    <t xml:space="preserve">командир 2-ого отделения  211 учебной группы  </t>
  </si>
  <si>
    <t>Комаров Антон Анатольевич</t>
  </si>
  <si>
    <t xml:space="preserve">командир 3-ого отделения  211 учебной группы  </t>
  </si>
  <si>
    <t>Димов Егор Дмитриевич</t>
  </si>
  <si>
    <t xml:space="preserve">командир 1-ого отделения  212 учебной группы  </t>
  </si>
  <si>
    <t>Щекин Илья Александрович</t>
  </si>
  <si>
    <t xml:space="preserve">командир 2-ого отделения  212 учебной группы  </t>
  </si>
  <si>
    <t>Седов Данила Михайлович</t>
  </si>
  <si>
    <t xml:space="preserve">командир 1-ого отделения  213 учебной группы  </t>
  </si>
  <si>
    <t>Ехновицкий Ярослав Сергеевич</t>
  </si>
  <si>
    <t xml:space="preserve">командир 2-ого отделения  213 учебной группы  </t>
  </si>
  <si>
    <t>Парахневич Александр Ярославович</t>
  </si>
  <si>
    <t xml:space="preserve">командир 2-ого отделения  214 учебной группы  </t>
  </si>
  <si>
    <t xml:space="preserve">Семенюгин Сергей Викторович </t>
  </si>
  <si>
    <t xml:space="preserve">командир 1-ого отделения  221 учебной группы  </t>
  </si>
  <si>
    <t>Винокурцев Констатнтин Ильич</t>
  </si>
  <si>
    <t xml:space="preserve">командир 2-ого отделения  221 учебной группы  </t>
  </si>
  <si>
    <t>младший        сержант</t>
  </si>
  <si>
    <t>Краль Клим Вячеславович</t>
  </si>
  <si>
    <t xml:space="preserve">командир 3-ого отделения  221 учебной группы  </t>
  </si>
  <si>
    <t>Акпыжаев Никита Алексеевич</t>
  </si>
  <si>
    <t xml:space="preserve">командир 1-ого отделения  222 учебной группы  </t>
  </si>
  <si>
    <t xml:space="preserve">Лютов Александр Евгеньевич </t>
  </si>
  <si>
    <t xml:space="preserve">командир 1-ого отделения  223 учебной группы  </t>
  </si>
  <si>
    <t>Бекбулатов Артур Аханаевич</t>
  </si>
  <si>
    <t xml:space="preserve">командир 2-ого отделения  222 учебной группы  </t>
  </si>
  <si>
    <t xml:space="preserve">Сафронов Евгений Андреевич </t>
  </si>
  <si>
    <t xml:space="preserve">Коченков Виталий Олегович </t>
  </si>
  <si>
    <t xml:space="preserve">командир 2-ого отделения  224 учебной группы  </t>
  </si>
  <si>
    <t xml:space="preserve">Дурманаев Николай Александрович </t>
  </si>
  <si>
    <t xml:space="preserve">командир 1-ого отделения  231 учебной группы  </t>
  </si>
  <si>
    <t xml:space="preserve">Русавский Владимир Владимирович </t>
  </si>
  <si>
    <t xml:space="preserve">командир 2-ого отделения  231 учебной группы  </t>
  </si>
  <si>
    <t xml:space="preserve">Серегин Иван Дмитриевич </t>
  </si>
  <si>
    <t xml:space="preserve">командир 1-ого отделения  232 учебной группы  </t>
  </si>
  <si>
    <t xml:space="preserve">Вербицкий Андрей Александрович </t>
  </si>
  <si>
    <t xml:space="preserve">командир 2-ого отделения  232 учебной группы  </t>
  </si>
  <si>
    <t xml:space="preserve">Ясаков Сергей Алексеевич </t>
  </si>
  <si>
    <t xml:space="preserve">командир 1-ого отделения  233 учебной группы  </t>
  </si>
  <si>
    <t xml:space="preserve">Литошко Андрей Олегович </t>
  </si>
  <si>
    <t xml:space="preserve">командир 2-ого отделения  233 учебной группы  </t>
  </si>
  <si>
    <t xml:space="preserve">Корчагин Максим Дмитриевич </t>
  </si>
  <si>
    <t xml:space="preserve">командир 1-ого отделения  234 учебной группы  </t>
  </si>
  <si>
    <t xml:space="preserve">Гордеев Павел Максимович </t>
  </si>
  <si>
    <t xml:space="preserve">командир 1-ого отделения  241 учебной группы  </t>
  </si>
  <si>
    <t xml:space="preserve">Стрельников Максим Андреевич </t>
  </si>
  <si>
    <t xml:space="preserve">командир 2-ого отделения  241 учебной группы  </t>
  </si>
  <si>
    <t xml:space="preserve">Яковлев Вячеслав Станиславович </t>
  </si>
  <si>
    <t xml:space="preserve">командир 1-ого отделения  242 учебной группы  </t>
  </si>
  <si>
    <t>Керин Иван Олегович</t>
  </si>
  <si>
    <t xml:space="preserve">командир 2-ого отделения  242 учебной группы  </t>
  </si>
  <si>
    <t xml:space="preserve">Рудавин Сергей Александрович </t>
  </si>
  <si>
    <t xml:space="preserve">командир 1-ого отделения  243 учебной группы  </t>
  </si>
  <si>
    <t xml:space="preserve">Жук Андрей Сергеевич </t>
  </si>
  <si>
    <t xml:space="preserve">командир 2-ого отделения  243 учебной группы  </t>
  </si>
  <si>
    <t xml:space="preserve">Горяев Эненцен Саланович </t>
  </si>
  <si>
    <t xml:space="preserve">командир 1-ого отделения  244 учебной группы  </t>
  </si>
  <si>
    <t xml:space="preserve">Макаров Дмитрий Максимович </t>
  </si>
  <si>
    <t xml:space="preserve">командир 1-ого отделения  251 учебной группы  </t>
  </si>
  <si>
    <t xml:space="preserve">Моисеев Егор Алексеевич </t>
  </si>
  <si>
    <t xml:space="preserve">командир 2-ого отделения  251 учебной группы  </t>
  </si>
  <si>
    <t xml:space="preserve">Соловьев Виктор Ноколаевич </t>
  </si>
  <si>
    <t xml:space="preserve">командир 1-ого отделения  252 учебной группы  </t>
  </si>
  <si>
    <t xml:space="preserve">Котов Александр Дмитриевич </t>
  </si>
  <si>
    <t xml:space="preserve">командир 2-ого отделения  252 учебной группы  </t>
  </si>
  <si>
    <t xml:space="preserve">Благодетелев Денис Андреевич </t>
  </si>
  <si>
    <t xml:space="preserve">командир 1-ого отделения  253 учебной группы  </t>
  </si>
  <si>
    <t xml:space="preserve">Булатов Семен Алексеевич </t>
  </si>
  <si>
    <t xml:space="preserve">командир 2-ого отделения  253 учебной группы  </t>
  </si>
  <si>
    <t>Бабаев Имам Низамиевич</t>
  </si>
  <si>
    <t xml:space="preserve">командир 1-ого отделения  254 учебной группы  </t>
  </si>
  <si>
    <t xml:space="preserve">Глущенко Артем Никитович </t>
  </si>
  <si>
    <t>командира 251 учебной группы сержанта Исмаганбетова Ерлана Серигалиевича</t>
  </si>
  <si>
    <t>Академические задолжности отсутствуют</t>
  </si>
  <si>
    <t>Имеются более 20% текущих задолжностей в подразделении или у КУГ</t>
  </si>
  <si>
    <t>В подразделении 2 замечания у КУГ отсутствуют</t>
  </si>
  <si>
    <t>ПРО, ПРЕ, ГДП в подразделении и КУГ отсутствуют</t>
  </si>
  <si>
    <t>Увольнения распределены равномерно</t>
  </si>
  <si>
    <t>Замечания у подчиненного л/с отсутствуют, КУГ оценен не ниже «хорошо»</t>
  </si>
  <si>
    <t>командира 252 учебной группы сержанта Перевозникова Дениса Андреевича</t>
  </si>
  <si>
    <t>В подразделении и у КУГ отсутствуют текущие задолжности</t>
  </si>
  <si>
    <t>Подведение итогов не актуально, не поставлены задачи или не проводится</t>
  </si>
  <si>
    <t>командира 254 учебной группы сержанта Красова Ивана Сергеевича</t>
  </si>
  <si>
    <t xml:space="preserve">командира 1-ого отделения 253 учебной группы сержанта Булатова Семена Алексеевича </t>
  </si>
  <si>
    <t xml:space="preserve">командира 2-ого отделения 252 учебной группы рядового Благодетелева Дениса Андреевича </t>
  </si>
  <si>
    <t xml:space="preserve">командира 1-ого отделения 252 учебной группы сержанта Котова Александра Дмитриевича </t>
  </si>
  <si>
    <t xml:space="preserve">командира 2-ого отделения  251 учебной группы сержанта Соловьева Виктора Николаевича </t>
  </si>
  <si>
    <t xml:space="preserve">командира 1-ого отделения  251 учебной группы сержанта Моиссеева Егора Алексеевича </t>
  </si>
  <si>
    <t>старшины 24 курса сержанта Руткаускаса Максима Викторовича</t>
  </si>
  <si>
    <t>командира 241 учебной группы сержанта Молочуева Артема Давидовича</t>
  </si>
  <si>
    <t xml:space="preserve">                                                              А. Осипов</t>
  </si>
  <si>
    <t xml:space="preserve"> А. Осипов</t>
  </si>
  <si>
    <t xml:space="preserve">командира 1-ого отделения  241 учебной группы младшего сержанта Стреникова Максима Андреевича </t>
  </si>
  <si>
    <t xml:space="preserve">                                                          А. Осипов</t>
  </si>
  <si>
    <t>командира 2-ого отделения  241 учебной группы сержанта Яковлева Вячеслава Станиславовича</t>
  </si>
  <si>
    <t>командира 242 учебной группы сержанта Попова Артема Максимовича</t>
  </si>
  <si>
    <t>командира 1-ого отделения  242 учебной группы младшего сержанта Керина Ивана Олеговича</t>
  </si>
  <si>
    <t xml:space="preserve">командира 2-ого отделения  242 учебной группы сержанта Рудавина Сергея Александровича </t>
  </si>
  <si>
    <t>командира 243 учебной группы сержанта Прокофьева Кирилла Игоревича</t>
  </si>
  <si>
    <t>командира 1-ого отделения  243 учебной группы младшего сержанта Жук Андрея Сергеевича</t>
  </si>
  <si>
    <t>командира 2-ого отделения  243 учебной группы младшего сержанта Горяева Эренцена Салановича</t>
  </si>
  <si>
    <t>командира 244 учебной группы сержанта Дрягина Дмитрия Сергеевича</t>
  </si>
  <si>
    <t xml:space="preserve">командира 1-ого отделения  244 учебной группы сержанта Макарова Дмитрия Максимовича  </t>
  </si>
  <si>
    <t xml:space="preserve">                                          А.Давыдов</t>
  </si>
  <si>
    <t xml:space="preserve">                                                            А.Давыдов</t>
  </si>
  <si>
    <t xml:space="preserve">                                                      А.Давыдов</t>
  </si>
  <si>
    <t>старшины 23 курса младшего сержанта Земблинова Данилы Михайловича</t>
  </si>
  <si>
    <t>командира 234 учебной группы сержанта Агафонова Максима Сергеевича</t>
  </si>
  <si>
    <t>командира 1-ого отделения  234 учебной группы  сержанта Гордеева Павла Максимовича</t>
  </si>
  <si>
    <t>командира 2-ого отделения 233 учебной группы  сержанта Корчагина Максима Дмитриевича</t>
  </si>
  <si>
    <t>командира 1-ого отделения 233 учебной группы  сержанта Литошко Андрея Олеговича</t>
  </si>
  <si>
    <t xml:space="preserve">командира 233 учебной группы сержанта Беспалова Дмитрия Александровича </t>
  </si>
  <si>
    <t>командира 2-ого отделения 232 учебной группы младшего сержанта Ясакова Сергея Алексеевича</t>
  </si>
  <si>
    <t>командира 1-ого отделения 232 учебной группы сержанта Вербицкого Андрея Александровича</t>
  </si>
  <si>
    <t xml:space="preserve">командира 232 учебной группы сержанта Кашлева Всеволода Константиновича  </t>
  </si>
  <si>
    <t>командира 2-ого отделения 231 учебной группы младшего сержанта Серегина Ивана Дмитриевича</t>
  </si>
  <si>
    <t>командира 1-ого отделения 231 учебной группы рядового Русавского Владимира Владимировича</t>
  </si>
  <si>
    <t xml:space="preserve">командира 231 учебной группы  сержанта Кривоконева Станислава Алексеевича </t>
  </si>
  <si>
    <t>командира 224 учебной группы младшего сержанта Мазура Глеба Валентиновича</t>
  </si>
  <si>
    <t>командира 2-ого отделения  224 учебной группы  младшего сержанта Дурманаева Николая Александровича</t>
  </si>
  <si>
    <t>старшины 22 курса старшины Тимашова Игоря Сергеевича</t>
  </si>
  <si>
    <t xml:space="preserve">                                                      В.Теслов</t>
  </si>
  <si>
    <t xml:space="preserve">                                                               В.Теслов</t>
  </si>
  <si>
    <t>командира 2-ого отделения  223 учебной группы  сержанта Коченкова Виталия Александровича</t>
  </si>
  <si>
    <t>командира 1-ого отделения  223 учебной группы младшего сержанта Бекбулатова Артура Аханаевича</t>
  </si>
  <si>
    <t>командира 223 учебной группы младшего сержанта Толстикова Андрея Денисовича</t>
  </si>
  <si>
    <t>командира 2-ого отделения  222 учебной группы младшего сержанта Сафронова Евгения Андреевича</t>
  </si>
  <si>
    <t>командира 1-ого отделения  222 учебной группы младшего сержанта Лютов Александр Евгеньевич</t>
  </si>
  <si>
    <t>командира  222 учебной группы сержанта Музыкина Ивана Евгеньевича</t>
  </si>
  <si>
    <t>командира 3-ого отделения  221 учебной группы младшего сержанта Акпыжаева Никиты Алексеевича</t>
  </si>
  <si>
    <t>командира 2-ого отделения  221 учебной группы младшего сержанта Краля Клима Вячеславовича</t>
  </si>
  <si>
    <t>командира 1-ого отделения  221 учебной группы рядового Винокурцева Константина Ильича</t>
  </si>
  <si>
    <t>командира 221 учебной группы младшего сержанта Сутормина Александра Романовича</t>
  </si>
  <si>
    <t xml:space="preserve">                                                             Д.Турищев</t>
  </si>
  <si>
    <t xml:space="preserve">                                                        Д.Турищев</t>
  </si>
  <si>
    <t>командира 1-ого отделения  214 учебной группы рядового Семенюгина Сергея Викторовича</t>
  </si>
  <si>
    <t>командира 214 учебной группы  ефрейтора Титова Виталия Олеговича</t>
  </si>
  <si>
    <t>командира 2-ого отделения  213 учебной группы ефрейтора Парахневича Александра Ярославовича</t>
  </si>
  <si>
    <t>командира 1-ого отделения  213 учебной группы рядового Ехновицкого Ярослава Сергеевича</t>
  </si>
  <si>
    <t>командира 213 учебной группы  сержанта Окружко Константина Олеговича</t>
  </si>
  <si>
    <t>командира 2-ого отделения  212 учебной группы ефрейтора Седова Данила Михайловича</t>
  </si>
  <si>
    <t>командира 1-ого отделения  212 учебной группы рядового Щекина Ильи Александровича</t>
  </si>
  <si>
    <t xml:space="preserve">командира 212 учебной группы  сержанта Данилова Дениса Анатольевича </t>
  </si>
  <si>
    <t>командира 3-ого отделения  211 учебной группы рядового Димова Егора Дмитриевича</t>
  </si>
  <si>
    <t>командира 2-ого отделения  211 учебной группы ефрейтора Комарова Антона Анатольевича</t>
  </si>
  <si>
    <t>командира 1-ого отделения  211 учебной группы рядового Авксентьева Семена Михайловича</t>
  </si>
  <si>
    <t>Имеются задолжности в подразделении или у старшины курса</t>
  </si>
  <si>
    <t>Текущие задолжности в подразделении и старшины курса отсутствуют</t>
  </si>
  <si>
    <t>Замечаний нет</t>
  </si>
  <si>
    <t>Подготовка проведена, на разводе более трех замечаний</t>
  </si>
  <si>
    <t>Выявлено не более 2 замечаний у подчиненного л/с, КУГ оценен не ниже «хорошо»</t>
  </si>
  <si>
    <t>ПРО, ПРЕ отсутствуют, имеются не снятые взыскания за ГДП в подразделении, у старшины курса отсутствуют</t>
  </si>
  <si>
    <t>Есть нарушения ТБ, приведших к травматизму л/с</t>
  </si>
  <si>
    <t>Наряды и уборщики распределены не равномерно</t>
  </si>
  <si>
    <t>Имеютя более 10% задолжностей в подразделении или старшины курса</t>
  </si>
  <si>
    <t>Замечаний нет, оценка старшине не ниже «хорошо»</t>
  </si>
  <si>
    <t>Обстановкой владеет, доклады представляет, книжка сержантов не актуальна</t>
  </si>
  <si>
    <t>Средний балл подразделения ≥ 4,0
Средний балл КУГ ≥ 4,0</t>
  </si>
  <si>
    <t>Средний балл подразделения ≥ 4,5
Средний балл КУГ ≥ 4,0</t>
  </si>
  <si>
    <t>Средний балл подразделения &lt; 4,0
Средний балл КУГ &lt; 4,0</t>
  </si>
  <si>
    <t>Средний балл подразделения ≥ 4,5
Средний балл старшины курса ≥ 4,0</t>
  </si>
  <si>
    <t>Средний балл подразделения ≥ 4,0
Средний балл старшины курса ≥ 4,0</t>
  </si>
  <si>
    <t>Средний балл подразделения &lt; 4,0
Средний балл старшины курса &lt; 4,0</t>
  </si>
  <si>
    <t>Средний балл подразделения &lt; 4,0
Средний балл кКУГ &lt; 4,0</t>
  </si>
  <si>
    <t>старшины 41 курса рядового Молдованова Ильи Адександровича</t>
  </si>
  <si>
    <t>капитан</t>
  </si>
  <si>
    <t>В.Мельчаков</t>
  </si>
  <si>
    <t>командира 211 учебной группы младшего сержанта Петров Тагира Нажмудиновича</t>
  </si>
</sst>
</file>

<file path=xl/styles.xml><?xml version="1.0" encoding="utf-8"?>
<styleSheet xmlns="http://schemas.openxmlformats.org/spreadsheetml/2006/main">
  <fonts count="17">
    <font>
      <sz val="11"/>
      <color theme="1"/>
      <name val="Calibri"/>
      <family val="2"/>
      <scheme val="minor"/>
    </font>
    <font>
      <b/>
      <sz val="16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4"/>
      <color rgb="FF000000"/>
      <name val="Times New Roman"/>
      <family val="1"/>
      <charset val="204"/>
    </font>
    <font>
      <b/>
      <sz val="8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3"/>
      <color rgb="FF00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83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7" fillId="0" borderId="0" xfId="0" applyFont="1" applyAlignment="1">
      <alignment horizontal="right"/>
    </xf>
    <xf numFmtId="0" fontId="1" fillId="0" borderId="0" xfId="0" applyFont="1" applyAlignment="1"/>
    <xf numFmtId="0" fontId="2" fillId="0" borderId="0" xfId="0" applyFont="1" applyAlignment="1"/>
    <xf numFmtId="0" fontId="5" fillId="0" borderId="0" xfId="0" applyFont="1"/>
    <xf numFmtId="0" fontId="5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0" xfId="0" applyFont="1" applyFill="1" applyBorder="1"/>
    <xf numFmtId="0" fontId="4" fillId="0" borderId="0" xfId="0" applyFont="1" applyAlignment="1">
      <alignment horizontal="justify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 wrapText="1"/>
    </xf>
    <xf numFmtId="0" fontId="13" fillId="4" borderId="10" xfId="0" applyFont="1" applyFill="1" applyBorder="1" applyAlignment="1">
      <alignment horizontal="center" vertical="center" wrapText="1"/>
    </xf>
    <xf numFmtId="0" fontId="14" fillId="4" borderId="0" xfId="0" applyFont="1" applyFill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3" fillId="5" borderId="10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2" fillId="6" borderId="2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14" fillId="2" borderId="10" xfId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0" fontId="16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/>
    </xf>
  </cellXfs>
  <cellStyles count="2">
    <cellStyle name="Гиперссылка" xfId="1" builtinId="8"/>
    <cellStyle name="Обычный" xfId="0" builtinId="0"/>
  </cellStyles>
  <dxfs count="5">
    <dxf>
      <fill>
        <patternFill>
          <bgColor rgb="FFFF000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6;&#1077;&#1081;&#1090;&#1080;&#1085;&#1075;%20&#1089;&#1077;&#1088;&#1078;&#1072;&#1085;&#1090;&#1086;&#1074;/&#1056;&#1077;&#1081;&#1090;&#1080;&#1085;&#1075;%20&#1089;&#1077;&#1088;&#1078;&#1072;&#1085;&#1090;%20&#1092;&#1072;&#1082;&#1091;&#1083;&#1100;&#1090;&#1077;&#1090;&#1072;%20&#8470;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СТ-21"/>
      <sheetName val="КУГ-211"/>
      <sheetName val="КО1-211"/>
      <sheetName val="КО2-211"/>
      <sheetName val="КО3-211 "/>
      <sheetName val="КУГ-212"/>
      <sheetName val="КО1-212"/>
      <sheetName val="КО2-212"/>
      <sheetName val="КУГ-213"/>
      <sheetName val="КО1-213"/>
      <sheetName val="КО2-213"/>
      <sheetName val="КУГ-214"/>
      <sheetName val="КО2-214 "/>
      <sheetName val="СТ-22"/>
      <sheetName val="КУГ-221"/>
      <sheetName val="КО1-221"/>
      <sheetName val="КО2-221"/>
      <sheetName val="КО3-221"/>
      <sheetName val="КУГ-222"/>
      <sheetName val="КО1-222"/>
      <sheetName val="КО2-222"/>
      <sheetName val="КУГ-223"/>
      <sheetName val="КО1-223"/>
      <sheetName val="КО2-223"/>
      <sheetName val="КУГ-224"/>
      <sheetName val="КО1-224"/>
      <sheetName val="СТ-23"/>
      <sheetName val="КУГ-231"/>
      <sheetName val="КО1-231 "/>
      <sheetName val="КО2-231"/>
      <sheetName val="КУГ-232"/>
      <sheetName val="КО1-232"/>
      <sheetName val="КО2-232"/>
      <sheetName val="КУГ-233"/>
      <sheetName val="КО1-233"/>
      <sheetName val="КО2-233"/>
      <sheetName val="КУГ-234"/>
      <sheetName val="КО1-234 "/>
      <sheetName val="СТ-24"/>
      <sheetName val="КУГ-241"/>
      <sheetName val="КО1-241"/>
      <sheetName val="КО2-241"/>
      <sheetName val="КУГ-242"/>
      <sheetName val="КО1-242"/>
      <sheetName val="КО2-242"/>
      <sheetName val="КУГ-243"/>
      <sheetName val="КО1-243"/>
      <sheetName val="КО2-243"/>
      <sheetName val="КУГ-244"/>
      <sheetName val="КО1-244"/>
      <sheetName val="СТ-25"/>
      <sheetName val="КУГ-251"/>
      <sheetName val="КО1-251"/>
      <sheetName val="КО2-251"/>
      <sheetName val="КУГ-252"/>
      <sheetName val="КО1-252"/>
      <sheetName val="КО2-252"/>
      <sheetName val="КУГ-253"/>
      <sheetName val="КО1-253"/>
      <sheetName val="КО2-253 "/>
      <sheetName val="КУГ-254"/>
      <sheetName val="КО1-254 "/>
      <sheetName val="РЕЙТИНГ СТАРШИН"/>
      <sheetName val="РЕЙТИНГ КО"/>
      <sheetName val="РЕЙТИНГ ЗКВ"/>
    </sheetNames>
    <sheetDataSet>
      <sheetData sheetId="0">
        <row r="46">
          <cell r="E46">
            <v>64</v>
          </cell>
        </row>
      </sheetData>
      <sheetData sheetId="1">
        <row r="51">
          <cell r="E51">
            <v>84</v>
          </cell>
        </row>
      </sheetData>
      <sheetData sheetId="2">
        <row r="40">
          <cell r="E40">
            <v>55</v>
          </cell>
        </row>
      </sheetData>
      <sheetData sheetId="3">
        <row r="40">
          <cell r="E40">
            <v>70</v>
          </cell>
        </row>
      </sheetData>
      <sheetData sheetId="4">
        <row r="40">
          <cell r="E40">
            <v>56</v>
          </cell>
        </row>
      </sheetData>
      <sheetData sheetId="5">
        <row r="51">
          <cell r="E51">
            <v>69</v>
          </cell>
        </row>
      </sheetData>
      <sheetData sheetId="6" refreshError="1"/>
      <sheetData sheetId="7">
        <row r="40">
          <cell r="E40">
            <v>75</v>
          </cell>
        </row>
      </sheetData>
      <sheetData sheetId="8">
        <row r="51">
          <cell r="E51">
            <v>55</v>
          </cell>
        </row>
      </sheetData>
      <sheetData sheetId="9">
        <row r="40">
          <cell r="E40">
            <v>67</v>
          </cell>
        </row>
      </sheetData>
      <sheetData sheetId="10">
        <row r="40">
          <cell r="E40">
            <v>69</v>
          </cell>
        </row>
      </sheetData>
      <sheetData sheetId="11">
        <row r="51">
          <cell r="E51">
            <v>69</v>
          </cell>
        </row>
      </sheetData>
      <sheetData sheetId="12">
        <row r="40">
          <cell r="E40">
            <v>65</v>
          </cell>
        </row>
      </sheetData>
      <sheetData sheetId="13">
        <row r="46">
          <cell r="E46">
            <v>56</v>
          </cell>
        </row>
      </sheetData>
      <sheetData sheetId="14">
        <row r="51">
          <cell r="E51">
            <v>69</v>
          </cell>
        </row>
      </sheetData>
      <sheetData sheetId="15">
        <row r="40">
          <cell r="E40">
            <v>75</v>
          </cell>
        </row>
      </sheetData>
      <sheetData sheetId="16">
        <row r="40">
          <cell r="E40">
            <v>74</v>
          </cell>
        </row>
      </sheetData>
      <sheetData sheetId="17">
        <row r="40">
          <cell r="E40">
            <v>55</v>
          </cell>
        </row>
      </sheetData>
      <sheetData sheetId="18">
        <row r="51">
          <cell r="E51">
            <v>69</v>
          </cell>
        </row>
      </sheetData>
      <sheetData sheetId="19" refreshError="1"/>
      <sheetData sheetId="20">
        <row r="40">
          <cell r="E40">
            <v>59</v>
          </cell>
        </row>
      </sheetData>
      <sheetData sheetId="21">
        <row r="51">
          <cell r="E51">
            <v>69</v>
          </cell>
        </row>
      </sheetData>
      <sheetData sheetId="22" refreshError="1"/>
      <sheetData sheetId="23" refreshError="1"/>
      <sheetData sheetId="24">
        <row r="51">
          <cell r="E51">
            <v>69</v>
          </cell>
        </row>
      </sheetData>
      <sheetData sheetId="25" refreshError="1"/>
      <sheetData sheetId="26">
        <row r="46">
          <cell r="E46">
            <v>72</v>
          </cell>
        </row>
      </sheetData>
      <sheetData sheetId="27">
        <row r="51">
          <cell r="E51">
            <v>80</v>
          </cell>
        </row>
      </sheetData>
      <sheetData sheetId="28" refreshError="1"/>
      <sheetData sheetId="29" refreshError="1"/>
      <sheetData sheetId="30">
        <row r="51">
          <cell r="E51">
            <v>82</v>
          </cell>
        </row>
      </sheetData>
      <sheetData sheetId="31" refreshError="1"/>
      <sheetData sheetId="32" refreshError="1"/>
      <sheetData sheetId="33">
        <row r="51">
          <cell r="E51">
            <v>80</v>
          </cell>
        </row>
      </sheetData>
      <sheetData sheetId="34" refreshError="1"/>
      <sheetData sheetId="35" refreshError="1"/>
      <sheetData sheetId="36">
        <row r="51">
          <cell r="E51">
            <v>80</v>
          </cell>
        </row>
      </sheetData>
      <sheetData sheetId="37" refreshError="1"/>
      <sheetData sheetId="38">
        <row r="46">
          <cell r="E46">
            <v>67</v>
          </cell>
        </row>
      </sheetData>
      <sheetData sheetId="39">
        <row r="51">
          <cell r="E51">
            <v>70</v>
          </cell>
        </row>
      </sheetData>
      <sheetData sheetId="40" refreshError="1"/>
      <sheetData sheetId="41" refreshError="1"/>
      <sheetData sheetId="42">
        <row r="51">
          <cell r="E51">
            <v>89</v>
          </cell>
        </row>
      </sheetData>
      <sheetData sheetId="43" refreshError="1"/>
      <sheetData sheetId="44" refreshError="1"/>
      <sheetData sheetId="45">
        <row r="51">
          <cell r="E51">
            <v>85</v>
          </cell>
        </row>
      </sheetData>
      <sheetData sheetId="46">
        <row r="40">
          <cell r="E40">
            <v>70</v>
          </cell>
        </row>
      </sheetData>
      <sheetData sheetId="47">
        <row r="40">
          <cell r="E40">
            <v>73</v>
          </cell>
        </row>
      </sheetData>
      <sheetData sheetId="48">
        <row r="51">
          <cell r="E51">
            <v>55</v>
          </cell>
        </row>
      </sheetData>
      <sheetData sheetId="49" refreshError="1"/>
      <sheetData sheetId="50"/>
      <sheetData sheetId="51">
        <row r="51">
          <cell r="E51">
            <v>97</v>
          </cell>
        </row>
      </sheetData>
      <sheetData sheetId="52" refreshError="1"/>
      <sheetData sheetId="53" refreshError="1"/>
      <sheetData sheetId="54">
        <row r="51">
          <cell r="E51">
            <v>91</v>
          </cell>
        </row>
      </sheetData>
      <sheetData sheetId="55">
        <row r="40">
          <cell r="E40">
            <v>77</v>
          </cell>
        </row>
      </sheetData>
      <sheetData sheetId="56" refreshError="1"/>
      <sheetData sheetId="57"/>
      <sheetData sheetId="58">
        <row r="40">
          <cell r="E40">
            <v>83</v>
          </cell>
        </row>
      </sheetData>
      <sheetData sheetId="59" refreshError="1"/>
      <sheetData sheetId="60">
        <row r="51">
          <cell r="E51">
            <v>95</v>
          </cell>
        </row>
      </sheetData>
      <sheetData sheetId="61" refreshError="1"/>
      <sheetData sheetId="62" refreshError="1"/>
      <sheetData sheetId="63" refreshError="1"/>
      <sheetData sheetId="6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2D050"/>
  </sheetPr>
  <dimension ref="A1:G51"/>
  <sheetViews>
    <sheetView topLeftCell="A22" zoomScale="55" zoomScaleNormal="55" workbookViewId="0">
      <selection activeCell="K54" sqref="K54"/>
    </sheetView>
  </sheetViews>
  <sheetFormatPr defaultRowHeight="15"/>
  <cols>
    <col min="2" max="2" width="26" customWidth="1"/>
    <col min="3" max="3" width="58.5703125" customWidth="1"/>
    <col min="4" max="4" width="31.5703125" customWidth="1"/>
    <col min="5" max="5" width="33.85546875" hidden="1" customWidth="1"/>
    <col min="6" max="7" width="31.5703125" hidden="1" customWidth="1"/>
  </cols>
  <sheetData>
    <row r="1" spans="1:5" ht="20.25">
      <c r="A1" s="56" t="s">
        <v>0</v>
      </c>
      <c r="B1" s="56"/>
      <c r="C1" s="56"/>
      <c r="D1" s="56"/>
      <c r="E1" s="11"/>
    </row>
    <row r="2" spans="1:5" ht="18.75">
      <c r="A2" s="57" t="s">
        <v>1</v>
      </c>
      <c r="B2" s="57"/>
      <c r="C2" s="57"/>
      <c r="D2" s="57"/>
      <c r="E2" s="12"/>
    </row>
    <row r="3" spans="1:5" ht="18.75" customHeight="1">
      <c r="A3" s="58" t="s">
        <v>350</v>
      </c>
      <c r="B3" s="57"/>
      <c r="C3" s="57"/>
      <c r="D3" s="57"/>
      <c r="E3" s="57"/>
    </row>
    <row r="4" spans="1:5" ht="16.5" thickBot="1">
      <c r="A4" s="59"/>
      <c r="B4" s="59"/>
      <c r="C4" s="59"/>
      <c r="D4" s="59"/>
      <c r="E4" s="59"/>
    </row>
    <row r="5" spans="1:5" ht="15.75">
      <c r="A5" s="2" t="s">
        <v>3</v>
      </c>
      <c r="B5" s="60" t="s">
        <v>54</v>
      </c>
      <c r="C5" s="60" t="s">
        <v>55</v>
      </c>
      <c r="D5" s="60" t="s">
        <v>42</v>
      </c>
    </row>
    <row r="6" spans="1:5" ht="16.5" thickBot="1">
      <c r="A6" s="4" t="s">
        <v>4</v>
      </c>
      <c r="B6" s="61"/>
      <c r="C6" s="61"/>
      <c r="D6" s="61"/>
    </row>
    <row r="7" spans="1:5" ht="16.5" customHeight="1">
      <c r="A7" s="39" t="s">
        <v>5</v>
      </c>
      <c r="B7" s="44" t="s">
        <v>6</v>
      </c>
      <c r="C7" s="44" t="s">
        <v>348</v>
      </c>
      <c r="D7" s="44">
        <f>IF(IFERROR(SEARCH("подразделения ≥ 4,5", C7), 0) &gt; 0, 5, IF(IFERROR(SEARCH("подразделения ≥ 4,0", C7), 0) &gt; 0, 3, IF(IFERROR(SEARCH("&lt;", C7), 0) &gt; 0, 0,)))</f>
        <v>0</v>
      </c>
      <c r="E7" s="16" t="s">
        <v>346</v>
      </c>
    </row>
    <row r="8" spans="1:5" ht="14.25" customHeight="1">
      <c r="A8" s="51"/>
      <c r="B8" s="54"/>
      <c r="C8" s="52"/>
      <c r="D8" s="52"/>
      <c r="E8" s="17" t="s">
        <v>347</v>
      </c>
    </row>
    <row r="9" spans="1:5" ht="18" customHeight="1" thickBot="1">
      <c r="A9" s="40"/>
      <c r="B9" s="55"/>
      <c r="C9" s="45"/>
      <c r="D9" s="45"/>
      <c r="E9" s="18" t="s">
        <v>348</v>
      </c>
    </row>
    <row r="10" spans="1:5">
      <c r="A10" s="39" t="s">
        <v>7</v>
      </c>
      <c r="B10" s="44" t="s">
        <v>8</v>
      </c>
      <c r="C10" s="41" t="s">
        <v>71</v>
      </c>
      <c r="D10" s="44">
        <f>IF(C10="В подразделении и у старшины курса отсутствуют академические задолжности",10,0)</f>
        <v>10</v>
      </c>
    </row>
    <row r="11" spans="1:5" ht="26.25" customHeight="1" thickBot="1">
      <c r="A11" s="40"/>
      <c r="B11" s="45"/>
      <c r="C11" s="43"/>
      <c r="D11" s="45"/>
    </row>
    <row r="12" spans="1:5">
      <c r="A12" s="39" t="s">
        <v>9</v>
      </c>
      <c r="B12" s="44" t="s">
        <v>10</v>
      </c>
      <c r="C12" s="41" t="s">
        <v>333</v>
      </c>
      <c r="D12" s="44">
        <f>IF(C12="Текущие задолжности в подразделении и старшины курса отсутствуют",5,IF(C12="Имеются менее 10% задолжностей в подразделении или у старшины курса",3,IF(C12="Имеютя более 10% задолжностей в подразделении или старшины курса",0,)))</f>
        <v>5</v>
      </c>
    </row>
    <row r="13" spans="1:5">
      <c r="A13" s="51"/>
      <c r="B13" s="52"/>
      <c r="C13" s="53"/>
      <c r="D13" s="52"/>
    </row>
    <row r="14" spans="1:5" ht="30.75" customHeight="1" thickBot="1">
      <c r="A14" s="40"/>
      <c r="B14" s="45"/>
      <c r="C14" s="43"/>
      <c r="D14" s="45"/>
    </row>
    <row r="15" spans="1:5">
      <c r="A15" s="39" t="s">
        <v>11</v>
      </c>
      <c r="B15" s="44" t="s">
        <v>12</v>
      </c>
      <c r="C15" s="41" t="s">
        <v>59</v>
      </c>
      <c r="D15" s="44">
        <f>IF(C15="Замечаний нет",5,0)</f>
        <v>0</v>
      </c>
    </row>
    <row r="16" spans="1:5" ht="15.75" customHeight="1">
      <c r="A16" s="51"/>
      <c r="B16" s="52"/>
      <c r="C16" s="53"/>
      <c r="D16" s="52"/>
    </row>
    <row r="17" spans="1:4" ht="84" customHeight="1" thickBot="1">
      <c r="A17" s="40"/>
      <c r="B17" s="45"/>
      <c r="C17" s="43"/>
      <c r="D17" s="45"/>
    </row>
    <row r="18" spans="1:4">
      <c r="A18" s="39" t="s">
        <v>13</v>
      </c>
      <c r="B18" s="44" t="s">
        <v>14</v>
      </c>
      <c r="C18" s="41" t="s">
        <v>337</v>
      </c>
      <c r="D18" s="44">
        <f>IF(C18="ПРО, ПРЕ, ГДП в подразделении и старшины курса отсутствуют",10,IF(C18="ПРО, ПРЕ отсутствуют, имеются не снятые взыскания за ГДП в подразделении, у старшины курса отсутствуют",2,IF(C18="Совершено ПРО, ПРЕ, ГДП в подразделении или старшины курса или допущено сокрытие",0,)))</f>
        <v>2</v>
      </c>
    </row>
    <row r="19" spans="1:4">
      <c r="A19" s="51"/>
      <c r="B19" s="52"/>
      <c r="C19" s="53"/>
      <c r="D19" s="52"/>
    </row>
    <row r="20" spans="1:4" ht="38.25" customHeight="1" thickBot="1">
      <c r="A20" s="40"/>
      <c r="B20" s="45"/>
      <c r="C20" s="43"/>
      <c r="D20" s="45"/>
    </row>
    <row r="21" spans="1:4">
      <c r="A21" s="39" t="s">
        <v>15</v>
      </c>
      <c r="B21" s="44" t="s">
        <v>16</v>
      </c>
      <c r="C21" s="41" t="s">
        <v>57</v>
      </c>
      <c r="D21" s="44">
        <f>IF(C21="Дисциплинарная практика к подчиненному личному составу ведется",5,0)</f>
        <v>5</v>
      </c>
    </row>
    <row r="22" spans="1:4" ht="33.75" customHeight="1" thickBot="1">
      <c r="A22" s="40"/>
      <c r="B22" s="45"/>
      <c r="C22" s="43"/>
      <c r="D22" s="45"/>
    </row>
    <row r="23" spans="1:4">
      <c r="A23" s="39" t="s">
        <v>17</v>
      </c>
      <c r="B23" s="44" t="s">
        <v>18</v>
      </c>
      <c r="C23" s="41" t="s">
        <v>60</v>
      </c>
      <c r="D23" s="44">
        <f>IF(C23="Обстановкой владеет, доклады представляет, книжка сержантов актуальна",10,IF(C23="Обстановкой владеет, доклады представляет, книжка сержантов не актуальна",5,IF(C23="Обстановкой не владеет, доклады не представляет, книжка сержантов не актуальна",0,)))</f>
        <v>10</v>
      </c>
    </row>
    <row r="24" spans="1:4">
      <c r="A24" s="51"/>
      <c r="B24" s="52"/>
      <c r="C24" s="53"/>
      <c r="D24" s="52"/>
    </row>
    <row r="25" spans="1:4" ht="89.25" customHeight="1" thickBot="1">
      <c r="A25" s="40"/>
      <c r="B25" s="45"/>
      <c r="C25" s="43"/>
      <c r="D25" s="45"/>
    </row>
    <row r="26" spans="1:4">
      <c r="A26" s="39" t="s">
        <v>20</v>
      </c>
      <c r="B26" s="44" t="s">
        <v>43</v>
      </c>
      <c r="C26" s="44" t="s">
        <v>69</v>
      </c>
      <c r="D26" s="44">
        <f>IF(C26="Увольнения между учебными группами распределены равномерно",2,0)</f>
        <v>2</v>
      </c>
    </row>
    <row r="27" spans="1:4" ht="15.75" thickBot="1">
      <c r="A27" s="40"/>
      <c r="B27" s="45"/>
      <c r="C27" s="45"/>
      <c r="D27" s="45"/>
    </row>
    <row r="28" spans="1:4">
      <c r="A28" s="39" t="s">
        <v>23</v>
      </c>
      <c r="B28" s="44" t="s">
        <v>44</v>
      </c>
      <c r="C28" s="44" t="s">
        <v>62</v>
      </c>
      <c r="D28" s="44">
        <f>IF(C28="Наряды и уборщики распределены равномерно",2,IF(C28="Наряды распределены равномерно, уборщики не равномерно",1,IF(C28="Наряды и уборщики распределены не равномерно",0,)))</f>
        <v>1</v>
      </c>
    </row>
    <row r="29" spans="1:4">
      <c r="A29" s="51"/>
      <c r="B29" s="52"/>
      <c r="C29" s="52"/>
      <c r="D29" s="52"/>
    </row>
    <row r="30" spans="1:4" ht="41.25" customHeight="1" thickBot="1">
      <c r="A30" s="40"/>
      <c r="B30" s="45"/>
      <c r="C30" s="45"/>
      <c r="D30" s="45"/>
    </row>
    <row r="31" spans="1:4" ht="47.25" customHeight="1">
      <c r="A31" s="39" t="s">
        <v>25</v>
      </c>
      <c r="B31" s="44" t="s">
        <v>51</v>
      </c>
      <c r="C31" s="41" t="s">
        <v>335</v>
      </c>
      <c r="D31" s="44">
        <f>IF(C31="Подготовка проведена, на разводе замечаний нет",5,IF(C31="Подготовка проведена, на разводе более трех замечаний",3,IF(C31="Подготовка не проведена, на разводе более трех замечаний или личный состав не допущен",0,)))</f>
        <v>3</v>
      </c>
    </row>
    <row r="32" spans="1:4">
      <c r="A32" s="51"/>
      <c r="B32" s="52"/>
      <c r="C32" s="53"/>
      <c r="D32" s="52"/>
    </row>
    <row r="33" spans="1:5" ht="7.5" customHeight="1" thickBot="1">
      <c r="A33" s="40"/>
      <c r="B33" s="45"/>
      <c r="C33" s="43"/>
      <c r="D33" s="45"/>
    </row>
    <row r="34" spans="1:5">
      <c r="A34" s="39" t="s">
        <v>27</v>
      </c>
      <c r="B34" s="44" t="s">
        <v>24</v>
      </c>
      <c r="C34" s="41" t="s">
        <v>64</v>
      </c>
      <c r="D34" s="44">
        <f>IF(C34="Замечаний нет, оценка старшине не ниже «хорошо»",5,IF(C34="Замечаний не более пяти, оценка старшине не ниже «хорошо»",3,IF(C34="Замечаний более пяти или наряд отстранен, оценка старшине ниже «хорошо»",0,)))</f>
        <v>3</v>
      </c>
    </row>
    <row r="35" spans="1:5">
      <c r="A35" s="51"/>
      <c r="B35" s="52"/>
      <c r="C35" s="53"/>
      <c r="D35" s="52"/>
    </row>
    <row r="36" spans="1:5" ht="39" customHeight="1" thickBot="1">
      <c r="A36" s="40"/>
      <c r="B36" s="45"/>
      <c r="C36" s="43"/>
      <c r="D36" s="45"/>
    </row>
    <row r="37" spans="1:5">
      <c r="A37" s="39" t="s">
        <v>29</v>
      </c>
      <c r="B37" s="44" t="s">
        <v>26</v>
      </c>
      <c r="C37" s="41" t="s">
        <v>65</v>
      </c>
      <c r="D37" s="44">
        <f>IF(C37="Нарушений ТБ, приведших к травматизму л/с нет",10,0)</f>
        <v>10</v>
      </c>
    </row>
    <row r="38" spans="1:5" ht="33.75" customHeight="1" thickBot="1">
      <c r="A38" s="40"/>
      <c r="B38" s="45"/>
      <c r="C38" s="43"/>
      <c r="D38" s="45"/>
    </row>
    <row r="39" spans="1:5">
      <c r="A39" s="39" t="s">
        <v>32</v>
      </c>
      <c r="B39" s="44" t="s">
        <v>28</v>
      </c>
      <c r="C39" s="41" t="s">
        <v>66</v>
      </c>
      <c r="D39" s="44">
        <f>IF(C39="Элементы распорядка дня соблюдаются",10,IF(C39="Не более пяти нарушений распорядка дня, срывов мероприятий не допущено",5,IF(C39="Более пяти нарушений элементов распорядка дня или мероприятие сорвано »",0,)))</f>
        <v>5</v>
      </c>
    </row>
    <row r="40" spans="1:5">
      <c r="A40" s="51"/>
      <c r="B40" s="52"/>
      <c r="C40" s="53"/>
      <c r="D40" s="52"/>
    </row>
    <row r="41" spans="1:5" ht="15.75" thickBot="1">
      <c r="A41" s="40"/>
      <c r="B41" s="45"/>
      <c r="C41" s="43"/>
      <c r="D41" s="45"/>
    </row>
    <row r="42" spans="1:5">
      <c r="A42" s="39" t="s">
        <v>45</v>
      </c>
      <c r="B42" s="41" t="s">
        <v>30</v>
      </c>
      <c r="C42" s="41" t="s">
        <v>31</v>
      </c>
      <c r="D42" s="44">
        <f>IF(C42="Материальные средства подразделения в наличии, исправны, обслужены, хранятся правильно",5,0)</f>
        <v>5</v>
      </c>
    </row>
    <row r="43" spans="1:5" ht="39.75" customHeight="1" thickBot="1">
      <c r="A43" s="40"/>
      <c r="B43" s="42"/>
      <c r="C43" s="43"/>
      <c r="D43" s="45"/>
    </row>
    <row r="44" spans="1:5">
      <c r="A44" s="39" t="s">
        <v>46</v>
      </c>
      <c r="B44" s="41" t="s">
        <v>53</v>
      </c>
      <c r="C44" s="41" t="s">
        <v>68</v>
      </c>
      <c r="D44" s="44">
        <f>IF(C44="Оценка по физической подготовке (культуре) - 5",2,1)</f>
        <v>1</v>
      </c>
    </row>
    <row r="45" spans="1:5" ht="95.25" customHeight="1" thickBot="1">
      <c r="A45" s="40"/>
      <c r="B45" s="42"/>
      <c r="C45" s="43"/>
      <c r="D45" s="45"/>
    </row>
    <row r="46" spans="1:5" ht="15.75">
      <c r="A46" s="46" t="s">
        <v>34</v>
      </c>
      <c r="B46" s="47"/>
      <c r="C46" s="47"/>
      <c r="D46" s="50">
        <f>SUM(D7:D45)</f>
        <v>62</v>
      </c>
      <c r="E46" s="8"/>
    </row>
    <row r="47" spans="1:5" ht="16.5" thickBot="1">
      <c r="A47" s="48"/>
      <c r="B47" s="49"/>
      <c r="C47" s="49"/>
      <c r="D47" s="42"/>
      <c r="E47" s="8"/>
    </row>
    <row r="49" spans="1:5" ht="20.25">
      <c r="A49" s="37" t="s">
        <v>35</v>
      </c>
      <c r="B49" s="37"/>
      <c r="C49" s="37"/>
      <c r="D49" s="5"/>
      <c r="E49" s="5"/>
    </row>
    <row r="50" spans="1:5" ht="20.25">
      <c r="A50" s="38" t="s">
        <v>351</v>
      </c>
      <c r="B50" s="38"/>
      <c r="C50" s="38"/>
      <c r="D50" s="6"/>
      <c r="E50" s="6"/>
    </row>
    <row r="51" spans="1:5" ht="21">
      <c r="A51" s="9"/>
      <c r="B51" s="9"/>
      <c r="C51" s="10" t="s">
        <v>352</v>
      </c>
      <c r="D51" s="5"/>
      <c r="E51" s="9"/>
    </row>
  </sheetData>
  <mergeCells count="71">
    <mergeCell ref="A1:D1"/>
    <mergeCell ref="A2:D2"/>
    <mergeCell ref="A3:E3"/>
    <mergeCell ref="A4:E4"/>
    <mergeCell ref="B5:B6"/>
    <mergeCell ref="C5:C6"/>
    <mergeCell ref="D5:D6"/>
    <mergeCell ref="A7:A9"/>
    <mergeCell ref="B7:B9"/>
    <mergeCell ref="C7:C9"/>
    <mergeCell ref="D7:D9"/>
    <mergeCell ref="A10:A11"/>
    <mergeCell ref="B10:B11"/>
    <mergeCell ref="C10:C11"/>
    <mergeCell ref="D10:D11"/>
    <mergeCell ref="A12:A14"/>
    <mergeCell ref="B12:B14"/>
    <mergeCell ref="C12:C14"/>
    <mergeCell ref="D12:D14"/>
    <mergeCell ref="A15:A17"/>
    <mergeCell ref="B15:B17"/>
    <mergeCell ref="C15:C17"/>
    <mergeCell ref="D15:D17"/>
    <mergeCell ref="A18:A20"/>
    <mergeCell ref="B18:B20"/>
    <mergeCell ref="C18:C20"/>
    <mergeCell ref="D18:D20"/>
    <mergeCell ref="A21:A22"/>
    <mergeCell ref="B21:B22"/>
    <mergeCell ref="C21:C22"/>
    <mergeCell ref="D21:D22"/>
    <mergeCell ref="A23:A25"/>
    <mergeCell ref="B23:B25"/>
    <mergeCell ref="C23:C25"/>
    <mergeCell ref="D23:D25"/>
    <mergeCell ref="A26:A27"/>
    <mergeCell ref="B26:B27"/>
    <mergeCell ref="C26:C27"/>
    <mergeCell ref="D26:D27"/>
    <mergeCell ref="A28:A30"/>
    <mergeCell ref="B28:B30"/>
    <mergeCell ref="C28:C30"/>
    <mergeCell ref="D28:D30"/>
    <mergeCell ref="A31:A33"/>
    <mergeCell ref="B31:B33"/>
    <mergeCell ref="C31:C33"/>
    <mergeCell ref="D31:D33"/>
    <mergeCell ref="A34:A36"/>
    <mergeCell ref="B34:B36"/>
    <mergeCell ref="C34:C36"/>
    <mergeCell ref="D34:D36"/>
    <mergeCell ref="A37:A38"/>
    <mergeCell ref="B37:B38"/>
    <mergeCell ref="C37:C38"/>
    <mergeCell ref="D37:D38"/>
    <mergeCell ref="D44:D45"/>
    <mergeCell ref="A46:C47"/>
    <mergeCell ref="D46:D47"/>
    <mergeCell ref="A39:A41"/>
    <mergeCell ref="B39:B41"/>
    <mergeCell ref="C39:C41"/>
    <mergeCell ref="D39:D41"/>
    <mergeCell ref="A42:A43"/>
    <mergeCell ref="B42:B43"/>
    <mergeCell ref="C42:C43"/>
    <mergeCell ref="D42:D43"/>
    <mergeCell ref="A49:C49"/>
    <mergeCell ref="A50:C50"/>
    <mergeCell ref="A44:A45"/>
    <mergeCell ref="B44:B45"/>
    <mergeCell ref="C44:C45"/>
  </mergeCells>
  <dataValidations count="16">
    <dataValidation type="list" allowBlank="1" showInputMessage="1" showErrorMessage="1" sqref="C10:C11">
      <formula1>"В подразделении и у старшины курса отсутствуют академические задолжности, Имеются задолжности в подразделении или у старшины курса"</formula1>
    </dataValidation>
    <dataValidation type="list" allowBlank="1" showInputMessage="1" showErrorMessage="1" sqref="C12:C14">
      <formula1>"Текущие задолжности в подразделении и старшины курса отсутствуют,Имеются менее 10% задолжностей в подразделении или у старшины курса,Имеютя более 10% задолжностей в подразделении или старшины курса"</formula1>
    </dataValidation>
    <dataValidation type="list" allowBlank="1" showInputMessage="1" showErrorMessage="1" sqref="C7:C9">
      <formula1>$E$7:$E$9</formula1>
    </dataValidation>
    <dataValidation type="list" allowBlank="1" showInputMessage="1" showErrorMessage="1" sqref="C15:C17">
      <formula1>"Замечаний нет,Имеются замечания"</formula1>
    </dataValidation>
    <dataValidation type="list" allowBlank="1" showInputMessage="1" showErrorMessage="1" sqref="C18:C20">
      <formula1>"ПРО, ПРЕ, ГДП в подразделении и старшины курса отсутствуют, ПРО, ПРЕ отсутствуют, имеются не снятые взыскания за ГДП в подразделении, у старшины курса отсутствуют, Совершено ПРО, ПРЕ, ГДП в подразделении или старшины курса или допущено сокрытие"</formula1>
    </dataValidation>
    <dataValidation type="list" allowBlank="1" showInputMessage="1" showErrorMessage="1" sqref="C21:C22">
      <formula1>"Дисциплинарная практика к подчиненному личному составу ведется,Дисциплинарная практика к подчиненному личному составу не реализуется или старшина курса имеет дисциплинарные взыскания"</formula1>
    </dataValidation>
    <dataValidation type="list" allowBlank="1" showInputMessage="1" showErrorMessage="1" sqref="G7">
      <formula1>"яблоко,ананас,кефир"</formula1>
    </dataValidation>
    <dataValidation type="list" allowBlank="1" showInputMessage="1" showErrorMessage="1" sqref="C23:C25">
      <formula1>"Обстановкой владеет, доклады представляет, книжка сержантов актуальна,Обстановкой владеет, доклады представляет, книжка сержантов не актуальна,Обстановкой не владеет, доклады не представляет, книжка сержантов не актуальна"</formula1>
    </dataValidation>
    <dataValidation type="list" allowBlank="1" showInputMessage="1" showErrorMessage="1" sqref="C26:C27">
      <formula1>"Увольнения между учебными группами распределены равномерно,Увольнение между учебными группами распределены не равномерно"</formula1>
    </dataValidation>
    <dataValidation type="list" allowBlank="1" showInputMessage="1" showErrorMessage="1" sqref="C28:C30">
      <formula1>"Наряды и уборщики распределены равномерно,Наряды распределены равномерно, уборщики не равномерно,Наряды и уборщики распределены не равномерно"</formula1>
    </dataValidation>
    <dataValidation type="list" allowBlank="1" showInputMessage="1" showErrorMessage="1" sqref="C31:C33">
      <formula1>"Подготовка проведена, на разводе замечаний нет,Подготовка проведена, на разводе более трех замечаний,Подготовка не проведена, на разводе более трех замечаний или личный состав не допущен,"</formula1>
    </dataValidation>
    <dataValidation type="list" allowBlank="1" showInputMessage="1" showErrorMessage="1" sqref="C34:C36">
      <formula1>"Замечаний нет, оценка старшине не ниже «хорошо»,Замечаний не более пяти, оценка старшине не ниже «хорошо»,Замечаний более пяти или наряд отстранен, оценка старшине ниже «хорошо»"</formula1>
    </dataValidation>
    <dataValidation type="list" allowBlank="1" showInputMessage="1" showErrorMessage="1" sqref="C37:C38">
      <formula1>"Нарушений ТБ, приведших к травматизму л/с нет,Есть нарушения ТБ, приведших к травматизму л/с"</formula1>
    </dataValidation>
    <dataValidation type="list" allowBlank="1" showInputMessage="1" showErrorMessage="1" sqref="C39:C41">
      <formula1>"Элементы распорядка дня соблюдаются,Не более пяти нарушений распорядка дня, срывов мероприятий не допущено,Более пяти нарушений элементов распорядка дня или мероприятие сорвано "</formula1>
    </dataValidation>
    <dataValidation type="list" allowBlank="1" showInputMessage="1" showErrorMessage="1" sqref="C42:C43">
      <formula1>"Материальные средства подразделения в наличии, исправны, обслужены, хранятся правильно,Не выполнены предъявляемые критерии "</formula1>
    </dataValidation>
    <dataValidation type="list" allowBlank="1" showInputMessage="1" showErrorMessage="1" sqref="C44:C45">
      <formula1>"Оценка по физической подготовке (культуре) - 5,Оценка по физической подготовке (культуре) - 4"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92D050"/>
  </sheetPr>
  <dimension ref="A1:L56"/>
  <sheetViews>
    <sheetView zoomScale="85" zoomScaleNormal="85" workbookViewId="0">
      <selection activeCell="S17" sqref="S17"/>
    </sheetView>
  </sheetViews>
  <sheetFormatPr defaultRowHeight="15"/>
  <cols>
    <col min="2" max="2" width="26" customWidth="1"/>
    <col min="3" max="3" width="58.5703125" customWidth="1"/>
    <col min="4" max="4" width="28.5703125" customWidth="1"/>
    <col min="5" max="5" width="0.140625" customWidth="1"/>
    <col min="6" max="6" width="0.42578125" customWidth="1"/>
    <col min="7" max="11" width="9.140625" hidden="1" customWidth="1"/>
    <col min="12" max="12" width="12" hidden="1" customWidth="1"/>
    <col min="13" max="13" width="9.140625" customWidth="1"/>
  </cols>
  <sheetData>
    <row r="1" spans="1:12" ht="20.25">
      <c r="A1" s="56" t="s">
        <v>0</v>
      </c>
      <c r="B1" s="56"/>
      <c r="C1" s="56"/>
      <c r="D1" s="56"/>
      <c r="E1" s="56"/>
    </row>
    <row r="2" spans="1:12" ht="18.75">
      <c r="A2" s="57" t="s">
        <v>1</v>
      </c>
      <c r="B2" s="57"/>
      <c r="C2" s="57"/>
      <c r="D2" s="57"/>
      <c r="E2" s="57"/>
    </row>
    <row r="3" spans="1:12" ht="18.75" customHeight="1">
      <c r="A3" s="58" t="s">
        <v>353</v>
      </c>
      <c r="B3" s="57"/>
      <c r="C3" s="57"/>
      <c r="D3" s="57"/>
      <c r="E3" s="57"/>
    </row>
    <row r="4" spans="1:12" ht="16.5" thickBot="1">
      <c r="A4" s="59"/>
      <c r="B4" s="59"/>
      <c r="C4" s="59"/>
      <c r="D4" s="59"/>
      <c r="E4" s="59"/>
    </row>
    <row r="5" spans="1:12" ht="15.75" customHeight="1">
      <c r="A5" s="2" t="s">
        <v>3</v>
      </c>
      <c r="B5" s="60" t="s">
        <v>54</v>
      </c>
      <c r="C5" s="60" t="s">
        <v>55</v>
      </c>
      <c r="D5" s="60" t="s">
        <v>42</v>
      </c>
    </row>
    <row r="6" spans="1:12" ht="16.5" thickBot="1">
      <c r="A6" s="4" t="s">
        <v>4</v>
      </c>
      <c r="B6" s="61"/>
      <c r="C6" s="61"/>
      <c r="D6" s="61"/>
    </row>
    <row r="7" spans="1:12" ht="15" customHeight="1">
      <c r="A7" s="39" t="s">
        <v>5</v>
      </c>
      <c r="B7" s="44" t="s">
        <v>6</v>
      </c>
      <c r="C7" s="44" t="s">
        <v>345</v>
      </c>
      <c r="D7" s="44">
        <f>IF(IFERROR(SEARCH("подразделения ≥ 4,5", C7), 0) &gt; 0, 5, IF(IFERROR(SEARCH("подразделения ≥ 4,0", C7), 0) &gt; 0, 3, IF(IFERROR(SEARCH("&lt;", C7), 0) &gt; 0, 0,)))</f>
        <v>0</v>
      </c>
      <c r="F7">
        <v>5</v>
      </c>
      <c r="G7" s="16" t="s">
        <v>344</v>
      </c>
    </row>
    <row r="8" spans="1:12" ht="15" customHeight="1">
      <c r="A8" s="51"/>
      <c r="B8" s="54"/>
      <c r="C8" s="52"/>
      <c r="D8" s="52"/>
      <c r="F8">
        <v>3</v>
      </c>
      <c r="G8" s="17" t="s">
        <v>343</v>
      </c>
    </row>
    <row r="9" spans="1:12" ht="18.75" customHeight="1" thickBot="1">
      <c r="A9" s="40"/>
      <c r="B9" s="55"/>
      <c r="C9" s="45"/>
      <c r="D9" s="45"/>
      <c r="F9">
        <v>0</v>
      </c>
      <c r="G9" s="18" t="s">
        <v>345</v>
      </c>
    </row>
    <row r="10" spans="1:12" ht="15" customHeight="1">
      <c r="A10" s="39" t="s">
        <v>7</v>
      </c>
      <c r="B10" s="44" t="s">
        <v>8</v>
      </c>
      <c r="C10" s="44" t="s">
        <v>259</v>
      </c>
      <c r="D10" s="44">
        <f>IF(C10="Академические задолжности отсутствуют",10,0)</f>
        <v>10</v>
      </c>
      <c r="F10">
        <v>10</v>
      </c>
    </row>
    <row r="11" spans="1:12" ht="15.75" customHeight="1" thickBot="1">
      <c r="A11" s="40"/>
      <c r="B11" s="45"/>
      <c r="C11" s="45"/>
      <c r="D11" s="45"/>
      <c r="F11">
        <v>0</v>
      </c>
    </row>
    <row r="12" spans="1:12" ht="15" customHeight="1">
      <c r="A12" s="39" t="s">
        <v>9</v>
      </c>
      <c r="B12" s="44" t="s">
        <v>10</v>
      </c>
      <c r="C12" s="44" t="s">
        <v>260</v>
      </c>
      <c r="D12" s="44">
        <f>IF(C12="В подразделении и у КУГ отсутствуют текущие задолжности",5,IF(C12="Имеются менее 20% текущих задолжностей в подразделении или у КУГ",3,IF(C12="Имеются более 20% текущих задолжностей в подразделении или у КУГ",0,)))</f>
        <v>0</v>
      </c>
      <c r="F12">
        <v>5</v>
      </c>
    </row>
    <row r="13" spans="1:12" ht="15" customHeight="1">
      <c r="A13" s="51"/>
      <c r="B13" s="52"/>
      <c r="C13" s="52"/>
      <c r="D13" s="52"/>
      <c r="F13">
        <v>3</v>
      </c>
    </row>
    <row r="14" spans="1:12" ht="15.75" customHeight="1" thickBot="1">
      <c r="A14" s="40"/>
      <c r="B14" s="45"/>
      <c r="C14" s="45"/>
      <c r="D14" s="45"/>
      <c r="F14">
        <v>0</v>
      </c>
    </row>
    <row r="15" spans="1:12" ht="15" customHeight="1">
      <c r="A15" s="39" t="s">
        <v>11</v>
      </c>
      <c r="B15" s="44" t="s">
        <v>39</v>
      </c>
      <c r="C15" s="64" t="s">
        <v>77</v>
      </c>
      <c r="D15" s="44">
        <f>IF(C15="Подразделение прибыло на занятие своевременно; дежурный по аудитории назначен; ЖУУЗ и классная доска оформлены; литература, конспекты, ПЭВМ (по необходимости) получены; внутренний порядок в аудитории поддерживается",5,IF(C15="Подразделение прибыло на занятие своевременно; дежурный по аудитории назначен; литература, конспекты, ПЭВМ (по необходимости) получены; ЖУУЗ или классная доска оформлены не своевременно; или имеются отклонения по  внутреннему порядку в аудитории",3,IF(C15="одразделение опоздало на занятие; или ЖУУЗ и классная доска не оформлены; литература, конспекты, ПЭВМ (по необходимости) не получены; или внутренний порядок в аудитории не поддерживается ",0,)))</f>
        <v>3</v>
      </c>
      <c r="F15">
        <v>5</v>
      </c>
      <c r="L15" s="13" t="s">
        <v>40</v>
      </c>
    </row>
    <row r="16" spans="1:12" ht="15" customHeight="1">
      <c r="A16" s="51"/>
      <c r="B16" s="52"/>
      <c r="C16" s="62"/>
      <c r="D16" s="52"/>
      <c r="F16">
        <v>3</v>
      </c>
      <c r="L16" s="13" t="s">
        <v>77</v>
      </c>
    </row>
    <row r="17" spans="1:12" ht="52.5" customHeight="1" thickBot="1">
      <c r="A17" s="40"/>
      <c r="B17" s="45"/>
      <c r="C17" s="63"/>
      <c r="D17" s="45"/>
      <c r="F17">
        <v>0</v>
      </c>
      <c r="L17" t="s">
        <v>78</v>
      </c>
    </row>
    <row r="18" spans="1:12" ht="15" customHeight="1" thickBot="1">
      <c r="A18" s="39" t="s">
        <v>13</v>
      </c>
      <c r="B18" s="44" t="s">
        <v>41</v>
      </c>
      <c r="C18" s="64" t="s">
        <v>80</v>
      </c>
      <c r="D18" s="44">
        <f>IF(IFERROR(SEARCH("30%", C18), 0) &gt; 0, 5, IF(IFERROR(SEARCH("10%", C18), 0) &gt; 0, 3, IF(IFERROR(SEARCH("не получены", C18), 0) &gt; 0, 0,)))</f>
        <v>3</v>
      </c>
      <c r="F18">
        <v>10</v>
      </c>
      <c r="L18" s="14" t="s">
        <v>79</v>
      </c>
    </row>
    <row r="19" spans="1:12" ht="15" customHeight="1">
      <c r="A19" s="51"/>
      <c r="B19" s="52"/>
      <c r="C19" s="62"/>
      <c r="D19" s="52"/>
      <c r="F19">
        <v>2</v>
      </c>
      <c r="L19" s="13" t="s">
        <v>80</v>
      </c>
    </row>
    <row r="20" spans="1:12" ht="105" customHeight="1" thickBot="1">
      <c r="A20" s="40"/>
      <c r="B20" s="45"/>
      <c r="C20" s="63"/>
      <c r="D20" s="45"/>
      <c r="F20">
        <v>0</v>
      </c>
      <c r="L20" s="13" t="s">
        <v>81</v>
      </c>
    </row>
    <row r="21" spans="1:12" ht="15" customHeight="1">
      <c r="A21" s="39" t="s">
        <v>15</v>
      </c>
      <c r="B21" s="44" t="s">
        <v>12</v>
      </c>
      <c r="C21" s="41" t="s">
        <v>73</v>
      </c>
      <c r="D21" s="44">
        <f>IF(C21="Замечания в подразделении и у КУГ отсутствуют",5,IF(C21="В подразделении 2 замечания у КУГ отсутствуют",3,IF(C21="В подразделении 3 и более замечаний или замечания у КУГ",0,)))</f>
        <v>5</v>
      </c>
      <c r="F21">
        <v>5</v>
      </c>
    </row>
    <row r="22" spans="1:12" ht="15.75" customHeight="1">
      <c r="A22" s="51"/>
      <c r="B22" s="52"/>
      <c r="C22" s="53"/>
      <c r="D22" s="52"/>
      <c r="F22">
        <v>0</v>
      </c>
    </row>
    <row r="23" spans="1:12" ht="82.5" customHeight="1" thickBot="1">
      <c r="A23" s="40"/>
      <c r="B23" s="45"/>
      <c r="C23" s="43"/>
      <c r="D23" s="45"/>
      <c r="F23">
        <v>10</v>
      </c>
    </row>
    <row r="24" spans="1:12" ht="15" customHeight="1">
      <c r="A24" s="39" t="s">
        <v>17</v>
      </c>
      <c r="B24" s="44" t="s">
        <v>14</v>
      </c>
      <c r="C24" s="41" t="s">
        <v>262</v>
      </c>
      <c r="D24" s="44">
        <f>IF(C24="ПРО, ПРЕ, ГДП в подразделении и КУГ отсутствуют",10,IF(C24="ПРО, ПРЕ отсутствуют, имеются не снятые взыскания за ГДП в подразделении, у КУГ отсутствуют",2,IF(C24="Совершено ПРО, ПРЕ, ГДП в подразделении или КУГ или допущено сокрытие",0,)))</f>
        <v>10</v>
      </c>
      <c r="F24">
        <v>5</v>
      </c>
    </row>
    <row r="25" spans="1:12" ht="15.75" customHeight="1">
      <c r="A25" s="51"/>
      <c r="B25" s="52"/>
      <c r="C25" s="53"/>
      <c r="D25" s="52"/>
      <c r="F25">
        <v>0</v>
      </c>
    </row>
    <row r="26" spans="1:12" ht="52.5" customHeight="1" thickBot="1">
      <c r="A26" s="40"/>
      <c r="B26" s="45"/>
      <c r="C26" s="43"/>
      <c r="D26" s="45"/>
      <c r="F26">
        <v>3</v>
      </c>
    </row>
    <row r="27" spans="1:12" ht="15.75" customHeight="1">
      <c r="A27" s="39" t="s">
        <v>20</v>
      </c>
      <c r="B27" s="44" t="s">
        <v>16</v>
      </c>
      <c r="C27" s="41" t="s">
        <v>57</v>
      </c>
      <c r="D27" s="44">
        <f>IF(C27="Дисциплинарная практика к подчиненному личному составу ведется",5,0)</f>
        <v>5</v>
      </c>
      <c r="F27">
        <v>0</v>
      </c>
    </row>
    <row r="28" spans="1:12" ht="15" customHeight="1" thickBot="1">
      <c r="A28" s="40"/>
      <c r="B28" s="45"/>
      <c r="C28" s="43"/>
      <c r="D28" s="45"/>
      <c r="F28">
        <v>5</v>
      </c>
    </row>
    <row r="29" spans="1:12" ht="15" customHeight="1">
      <c r="A29" s="39" t="s">
        <v>23</v>
      </c>
      <c r="B29" s="44" t="s">
        <v>18</v>
      </c>
      <c r="C29" s="41" t="s">
        <v>60</v>
      </c>
      <c r="D29" s="44">
        <f>IF(C29="Обстановкой владеет, доклады представляет, книжка сержантов актуальна",10,IF(C29="Обстановкой владеет, доклады представляет, книжка сержантов не актуальна",5,IF(C29="Обстановкой не владеет, доклады не представляет, книжка сержантов не актуальна",0,)))</f>
        <v>10</v>
      </c>
      <c r="F29">
        <v>3</v>
      </c>
    </row>
    <row r="30" spans="1:12" ht="15.75" customHeight="1">
      <c r="A30" s="51"/>
      <c r="B30" s="52"/>
      <c r="C30" s="53"/>
      <c r="D30" s="52"/>
      <c r="F30">
        <v>0</v>
      </c>
    </row>
    <row r="31" spans="1:12" ht="105" customHeight="1" thickBot="1">
      <c r="A31" s="40"/>
      <c r="B31" s="45"/>
      <c r="C31" s="43"/>
      <c r="D31" s="45"/>
      <c r="F31">
        <v>10</v>
      </c>
    </row>
    <row r="32" spans="1:12" ht="26.25" customHeight="1">
      <c r="A32" s="39" t="s">
        <v>25</v>
      </c>
      <c r="B32" s="44" t="s">
        <v>21</v>
      </c>
      <c r="C32" s="41" t="s">
        <v>75</v>
      </c>
      <c r="D32" s="44">
        <f>IF(C32="Подведение итогов актуально, поставлены конкретные задачи и проводится в установленное время",3,0)</f>
        <v>3</v>
      </c>
      <c r="F32">
        <v>0</v>
      </c>
    </row>
    <row r="33" spans="1:6" ht="30" customHeight="1" thickBot="1">
      <c r="A33" s="40"/>
      <c r="B33" s="45"/>
      <c r="C33" s="43"/>
      <c r="D33" s="45"/>
      <c r="F33">
        <v>10</v>
      </c>
    </row>
    <row r="34" spans="1:6" ht="15" customHeight="1">
      <c r="A34" s="51" t="s">
        <v>27</v>
      </c>
      <c r="B34" s="52" t="s">
        <v>43</v>
      </c>
      <c r="C34" s="41" t="s">
        <v>263</v>
      </c>
      <c r="D34" s="62">
        <f>IF(C34="Увольнения распределены равномерно",2,0)</f>
        <v>2</v>
      </c>
      <c r="F34">
        <v>5</v>
      </c>
    </row>
    <row r="35" spans="1:6" ht="15.75" customHeight="1" thickBot="1">
      <c r="A35" s="40"/>
      <c r="B35" s="45"/>
      <c r="C35" s="43"/>
      <c r="D35" s="63"/>
      <c r="F35">
        <v>0</v>
      </c>
    </row>
    <row r="36" spans="1:6" ht="15" customHeight="1">
      <c r="A36" s="39" t="s">
        <v>29</v>
      </c>
      <c r="B36" s="44" t="s">
        <v>44</v>
      </c>
      <c r="C36" s="44" t="s">
        <v>61</v>
      </c>
      <c r="D36" s="64">
        <f>IF(C36="Наряды и уборщики распределены равномерно",2,IF(C36="Наряды распределены равномерно, уборщики не равномерно",1,IF(C36="Наряды и уборщики распределены не равномерно",0,)))</f>
        <v>2</v>
      </c>
      <c r="F36">
        <v>5</v>
      </c>
    </row>
    <row r="37" spans="1:6" ht="15.75" customHeight="1">
      <c r="A37" s="51"/>
      <c r="B37" s="52"/>
      <c r="C37" s="52"/>
      <c r="D37" s="62"/>
      <c r="F37">
        <v>0</v>
      </c>
    </row>
    <row r="38" spans="1:6" ht="38.25" customHeight="1" thickBot="1">
      <c r="A38" s="40"/>
      <c r="B38" s="45"/>
      <c r="C38" s="45"/>
      <c r="D38" s="63"/>
      <c r="F38">
        <v>2</v>
      </c>
    </row>
    <row r="39" spans="1:6" ht="15.75" customHeight="1">
      <c r="A39" s="39" t="s">
        <v>32</v>
      </c>
      <c r="B39" s="44" t="s">
        <v>24</v>
      </c>
      <c r="C39" s="41" t="s">
        <v>264</v>
      </c>
      <c r="D39" s="44">
        <f>IF(C39="Замечания у подчиненного л/с отсутствуют, КУГ оценен не ниже «хорошо»",5,IF(C39="Выявлено не более 2 замечаний у подчиненного л/с, КУГ оценен не ниже «хорошо»",3,IF(C39="Л/с отстранен или выявлено более 2 замечаний, КУГ оценен ниже «хорошо»",0,)))</f>
        <v>5</v>
      </c>
      <c r="F39">
        <v>1</v>
      </c>
    </row>
    <row r="40" spans="1:6" ht="15" customHeight="1">
      <c r="A40" s="51"/>
      <c r="B40" s="52"/>
      <c r="C40" s="53"/>
      <c r="D40" s="52"/>
    </row>
    <row r="41" spans="1:6" ht="40.5" customHeight="1" thickBot="1">
      <c r="A41" s="40"/>
      <c r="B41" s="45"/>
      <c r="C41" s="43"/>
      <c r="D41" s="45"/>
    </row>
    <row r="42" spans="1:6">
      <c r="A42" s="39" t="s">
        <v>45</v>
      </c>
      <c r="B42" s="44" t="s">
        <v>26</v>
      </c>
      <c r="C42" s="41" t="s">
        <v>65</v>
      </c>
      <c r="D42" s="44">
        <f>IF(C42="Нарушений ТБ, приведших к травматизму л/с нет",10,0)</f>
        <v>10</v>
      </c>
    </row>
    <row r="43" spans="1:6" ht="44.25" customHeight="1" thickBot="1">
      <c r="A43" s="40"/>
      <c r="B43" s="45"/>
      <c r="C43" s="43"/>
      <c r="D43" s="45"/>
    </row>
    <row r="44" spans="1:6">
      <c r="A44" s="39" t="s">
        <v>46</v>
      </c>
      <c r="B44" s="44" t="s">
        <v>28</v>
      </c>
      <c r="C44" s="41" t="s">
        <v>52</v>
      </c>
      <c r="D44" s="44">
        <f>IF(C44="Элементы распорядка дня соблюдаются",10,IF(C44="Не более пяти нарушений распорядка дня, срывов мероприятий не допущено",5,IF(C44="Более пяти нарушений элементов распорядка дня или мероприятие сорвано",0,)))</f>
        <v>10</v>
      </c>
    </row>
    <row r="45" spans="1:6">
      <c r="A45" s="51"/>
      <c r="B45" s="52"/>
      <c r="C45" s="53"/>
      <c r="D45" s="52"/>
    </row>
    <row r="46" spans="1:6" ht="15.75" thickBot="1">
      <c r="A46" s="40"/>
      <c r="B46" s="45"/>
      <c r="C46" s="43"/>
      <c r="D46" s="45"/>
    </row>
    <row r="47" spans="1:6">
      <c r="A47" s="39" t="s">
        <v>47</v>
      </c>
      <c r="B47" s="44" t="s">
        <v>30</v>
      </c>
      <c r="C47" s="41" t="s">
        <v>31</v>
      </c>
      <c r="D47" s="44">
        <f>IF(C47="Материальные средства подразделения в наличии, исправны, обслужены, хранятся правильно",5,0)</f>
        <v>5</v>
      </c>
    </row>
    <row r="48" spans="1:6" ht="45" customHeight="1" thickBot="1">
      <c r="A48" s="40"/>
      <c r="B48" s="45"/>
      <c r="C48" s="43"/>
      <c r="D48" s="45"/>
    </row>
    <row r="49" spans="1:5">
      <c r="A49" s="39" t="s">
        <v>48</v>
      </c>
      <c r="B49" s="44" t="s">
        <v>33</v>
      </c>
      <c r="C49" s="41" t="s">
        <v>49</v>
      </c>
      <c r="D49" s="44">
        <f>IF(C49="Оценка по физической подготовке (культуре) - 5",2,1)</f>
        <v>2</v>
      </c>
    </row>
    <row r="50" spans="1:5" ht="97.5" customHeight="1" thickBot="1">
      <c r="A50" s="40"/>
      <c r="B50" s="45"/>
      <c r="C50" s="43"/>
      <c r="D50" s="45"/>
    </row>
    <row r="51" spans="1:5" ht="15.75">
      <c r="A51" s="46" t="s">
        <v>34</v>
      </c>
      <c r="B51" s="47"/>
      <c r="C51" s="47"/>
      <c r="D51" s="50">
        <f>SUM(D7:D50)</f>
        <v>85</v>
      </c>
      <c r="E51" s="8"/>
    </row>
    <row r="52" spans="1:5" ht="16.5" thickBot="1">
      <c r="A52" s="48"/>
      <c r="B52" s="49"/>
      <c r="C52" s="49"/>
      <c r="D52" s="42"/>
      <c r="E52" s="8"/>
    </row>
    <row r="54" spans="1:5" ht="20.25">
      <c r="A54" s="37" t="s">
        <v>35</v>
      </c>
      <c r="B54" s="37"/>
      <c r="C54" s="37"/>
      <c r="D54" s="37"/>
      <c r="E54" s="37"/>
    </row>
    <row r="55" spans="1:5" ht="20.25">
      <c r="A55" s="38" t="s">
        <v>36</v>
      </c>
      <c r="B55" s="38"/>
      <c r="C55" s="38"/>
      <c r="D55" s="38"/>
      <c r="E55" s="38"/>
    </row>
    <row r="56" spans="1:5" ht="21">
      <c r="A56" s="9"/>
      <c r="B56" s="9"/>
      <c r="C56" s="5" t="s">
        <v>319</v>
      </c>
      <c r="D56" s="5"/>
      <c r="E56" s="9"/>
    </row>
  </sheetData>
  <mergeCells count="79">
    <mergeCell ref="A1:E1"/>
    <mergeCell ref="A2:E2"/>
    <mergeCell ref="A3:E3"/>
    <mergeCell ref="A4:E4"/>
    <mergeCell ref="B5:B6"/>
    <mergeCell ref="C5:C6"/>
    <mergeCell ref="D5:D6"/>
    <mergeCell ref="A7:A9"/>
    <mergeCell ref="B7:B9"/>
    <mergeCell ref="C7:C9"/>
    <mergeCell ref="D7:D9"/>
    <mergeCell ref="A10:A11"/>
    <mergeCell ref="B10:B11"/>
    <mergeCell ref="C10:C11"/>
    <mergeCell ref="D10:D11"/>
    <mergeCell ref="A12:A14"/>
    <mergeCell ref="B12:B14"/>
    <mergeCell ref="C12:C14"/>
    <mergeCell ref="D12:D14"/>
    <mergeCell ref="A15:A17"/>
    <mergeCell ref="B15:B17"/>
    <mergeCell ref="C15:C17"/>
    <mergeCell ref="D15:D17"/>
    <mergeCell ref="A18:A20"/>
    <mergeCell ref="B18:B20"/>
    <mergeCell ref="C18:C20"/>
    <mergeCell ref="D18:D20"/>
    <mergeCell ref="A21:A23"/>
    <mergeCell ref="B21:B23"/>
    <mergeCell ref="C21:C23"/>
    <mergeCell ref="D21:D23"/>
    <mergeCell ref="A24:A26"/>
    <mergeCell ref="B24:B26"/>
    <mergeCell ref="C24:C26"/>
    <mergeCell ref="D24:D26"/>
    <mergeCell ref="A27:A28"/>
    <mergeCell ref="B27:B28"/>
    <mergeCell ref="C27:C28"/>
    <mergeCell ref="D27:D28"/>
    <mergeCell ref="A29:A31"/>
    <mergeCell ref="B29:B31"/>
    <mergeCell ref="C29:C31"/>
    <mergeCell ref="D29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8"/>
    <mergeCell ref="B36:B38"/>
    <mergeCell ref="C36:C38"/>
    <mergeCell ref="D36:D38"/>
    <mergeCell ref="A39:A41"/>
    <mergeCell ref="B39:B41"/>
    <mergeCell ref="C39:C41"/>
    <mergeCell ref="D39:D41"/>
    <mergeCell ref="A42:A43"/>
    <mergeCell ref="B42:B43"/>
    <mergeCell ref="C42:C43"/>
    <mergeCell ref="D42:D43"/>
    <mergeCell ref="A44:A46"/>
    <mergeCell ref="B44:B46"/>
    <mergeCell ref="C44:C46"/>
    <mergeCell ref="D44:D46"/>
    <mergeCell ref="A47:A48"/>
    <mergeCell ref="B47:B48"/>
    <mergeCell ref="C47:C48"/>
    <mergeCell ref="D47:D48"/>
    <mergeCell ref="A54:E54"/>
    <mergeCell ref="A55:E55"/>
    <mergeCell ref="A49:A50"/>
    <mergeCell ref="B49:B50"/>
    <mergeCell ref="C49:C50"/>
    <mergeCell ref="D49:D50"/>
    <mergeCell ref="A51:C52"/>
    <mergeCell ref="D51:D52"/>
  </mergeCells>
  <dataValidations count="17">
    <dataValidation type="list" allowBlank="1" showInputMessage="1" showErrorMessage="1" sqref="C7:C9">
      <formula1>$G$7:$G$9</formula1>
    </dataValidation>
    <dataValidation type="list" allowBlank="1" showInputMessage="1" showErrorMessage="1" sqref="C10:C11">
      <formula1>"Академические задолжности отсутствуют, Имеются академические задолжности в учебной группе или у КУГ"</formula1>
    </dataValidation>
    <dataValidation type="list" allowBlank="1" showInputMessage="1" showErrorMessage="1" sqref="C12:C14">
      <formula1>"В подразделении и у КУГ отсутствуют текущие задолжности,Имеются менее 20% текущих задолжностей в подразделении или у КУГ,Имеются более 20% текущих задолжностей в подразделении или у КУГ"</formula1>
    </dataValidation>
    <dataValidation type="list" allowBlank="1" showInputMessage="1" showErrorMessage="1" sqref="C15:C17">
      <formula1>$L$15:$L$17</formula1>
    </dataValidation>
    <dataValidation type="list" allowBlank="1" showInputMessage="1" showErrorMessage="1" sqref="C21:C23">
      <formula1>"Замечания в подразделении и у КУГ отсутствуют,В подразделении 2 замечания у КУГ отсутствуют,В подразделении 3 и более замечаний или замечания у КУГ"</formula1>
    </dataValidation>
    <dataValidation type="list" allowBlank="1" showInputMessage="1" showErrorMessage="1" sqref="C24:C26">
      <formula1>"ПРО, ПРЕ, ГДП в подразделении и КУГ отсутствуют, ПРО, ПРЕ отсутствуют, имеются не снятые взыскания за ГДП в подразделении, у КУГ отсутствуют, Совершено ПРО, ПРЕ, ГДП в подразделении или КУГ или допущено сокрытие"</formula1>
    </dataValidation>
    <dataValidation type="list" allowBlank="1" showInputMessage="1" showErrorMessage="1" sqref="C27:C28">
      <formula1>"Дисциплинарная практика к подчиненному личному составу ведется,Дисциплинарная практика к подчиненному личному составу не реализуется или КУГ имеет дисциплинарные взыскания"</formula1>
    </dataValidation>
    <dataValidation type="list" allowBlank="1" showInputMessage="1" showErrorMessage="1" sqref="C29:C31">
      <formula1>"Обстановкой владеет, доклады представляет, книжка сержантов актуальна,Обстановкой владеет, доклады представляет, книжка сержантов не актуальна,Обстановкой не владеет, доклады не представляет, книжка сержантов не актуальна"</formula1>
    </dataValidation>
    <dataValidation type="list" allowBlank="1" showInputMessage="1" showErrorMessage="1" sqref="C32:C33">
      <formula1>"Подведение итогов актуально, поставлены конкретные задачи и проводится в установленное время,Подведение итогов не актуально, не поставлены задачи или не проводится"</formula1>
    </dataValidation>
    <dataValidation type="list" allowBlank="1" showInputMessage="1" showErrorMessage="1" sqref="C34:C35">
      <formula1>"Увольнения распределены равномерно,Увольнения распределяются не равномерно"</formula1>
    </dataValidation>
    <dataValidation type="list" allowBlank="1" showInputMessage="1" showErrorMessage="1" sqref="C36:C38">
      <formula1>"Наряды и уборщики распределены равномерно,Наряды распределены равномерно, уборщики не равномерно,Наряды и уборщики распределены не равномерно"</formula1>
    </dataValidation>
    <dataValidation type="list" allowBlank="1" showInputMessage="1" showErrorMessage="1" sqref="C39:C41">
      <formula1>"Замечания у подчиненного л/с отсутствуют, КУГ оценен не ниже «хорошо»,Выявлено не более 2 замечаний у подчиненного л/с, КУГ оценен не ниже «хорошо»,Л/с отстранен или выявлено более 2 замечаний, КУГ оценен ниже «хорошо»,"</formula1>
    </dataValidation>
    <dataValidation type="list" allowBlank="1" showInputMessage="1" showErrorMessage="1" sqref="C42:C43">
      <formula1>"Нарушений ТБ, приведших к травматизму л/с нет,Есть нарушения ТБ, приведших к травматизму л/с"</formula1>
    </dataValidation>
    <dataValidation type="list" allowBlank="1" showInputMessage="1" showErrorMessage="1" sqref="C44:C46">
      <formula1>"Элементы распорядка дня соблюдаются,Не более пяти нарушений распорядка дня, срывов мероприятий не допущено,Более пяти нарушений элементов распорядка дня или мероприятие сорвано"</formula1>
    </dataValidation>
    <dataValidation type="list" allowBlank="1" showInputMessage="1" showErrorMessage="1" sqref="C47:C48">
      <formula1>"Материальные средства подразделения в наличии, исправны, обслужены, хранятся правильно,Не выполнены предъявляемые критерии "</formula1>
    </dataValidation>
    <dataValidation type="list" allowBlank="1" showInputMessage="1" showErrorMessage="1" sqref="C49:C50">
      <formula1>"Оценка по физической подготовке (культуре) - 5,Оценка по физической подготовке (культуре) - 4"</formula1>
    </dataValidation>
    <dataValidation type="list" allowBlank="1" showInputMessage="1" showErrorMessage="1" sqref="C18:C20">
      <formula1>$L$18:$L$20</formula1>
    </dataValidation>
  </dataValidation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92D050"/>
  </sheetPr>
  <dimension ref="A1:U46"/>
  <sheetViews>
    <sheetView zoomScale="115" zoomScaleNormal="115" workbookViewId="0">
      <selection activeCell="A3" sqref="A3:E3"/>
    </sheetView>
  </sheetViews>
  <sheetFormatPr defaultRowHeight="15"/>
  <cols>
    <col min="2" max="2" width="26" customWidth="1"/>
    <col min="3" max="3" width="58.5703125" customWidth="1"/>
    <col min="4" max="4" width="28.42578125" customWidth="1"/>
    <col min="5" max="5" width="24.140625" hidden="1" customWidth="1"/>
    <col min="6" max="6" width="24" hidden="1" customWidth="1"/>
    <col min="7" max="7" width="1.85546875" hidden="1" customWidth="1"/>
    <col min="8" max="8" width="18.42578125" customWidth="1"/>
  </cols>
  <sheetData>
    <row r="1" spans="1:21" ht="20.25">
      <c r="A1" s="56" t="s">
        <v>0</v>
      </c>
      <c r="B1" s="56"/>
      <c r="C1" s="56"/>
      <c r="D1" s="56"/>
      <c r="E1" s="56"/>
    </row>
    <row r="2" spans="1:21" ht="18.75">
      <c r="A2" s="57" t="s">
        <v>1</v>
      </c>
      <c r="B2" s="57"/>
      <c r="C2" s="57"/>
      <c r="D2" s="57"/>
      <c r="E2" s="57"/>
    </row>
    <row r="3" spans="1:21" ht="18.75" customHeight="1">
      <c r="A3" s="58" t="s">
        <v>331</v>
      </c>
      <c r="B3" s="57"/>
      <c r="C3" s="57"/>
      <c r="D3" s="57"/>
      <c r="E3" s="57"/>
    </row>
    <row r="4" spans="1:21" ht="16.5" thickBot="1">
      <c r="A4" s="59"/>
      <c r="B4" s="59"/>
      <c r="C4" s="59"/>
      <c r="D4" s="59"/>
      <c r="E4" s="59"/>
    </row>
    <row r="5" spans="1:21" ht="15.75">
      <c r="A5" s="2" t="s">
        <v>3</v>
      </c>
      <c r="B5" s="60" t="s">
        <v>54</v>
      </c>
      <c r="C5" s="60" t="s">
        <v>55</v>
      </c>
      <c r="D5" s="60" t="s">
        <v>42</v>
      </c>
    </row>
    <row r="6" spans="1:21" ht="16.5" thickBot="1">
      <c r="A6" s="4" t="s">
        <v>4</v>
      </c>
      <c r="B6" s="61"/>
      <c r="C6" s="61"/>
      <c r="D6" s="61"/>
    </row>
    <row r="7" spans="1:21" ht="13.5" customHeight="1">
      <c r="A7" s="39" t="s">
        <v>5</v>
      </c>
      <c r="B7" s="44" t="s">
        <v>6</v>
      </c>
      <c r="C7" s="44" t="s">
        <v>83</v>
      </c>
      <c r="D7" s="44">
        <f>IF(IFERROR(SEARCH("подразделения ≥ 4,5", C7), 0) &gt; 0, 5, IF(IFERROR(SEARCH("подразделения ≥ 4,0", C7), 0) &gt; 0, 3, IF(IFERROR(SEARCH("&lt;", C7), 0) &gt; 0, 0,)))</f>
        <v>3</v>
      </c>
      <c r="F7">
        <v>5</v>
      </c>
      <c r="G7" s="16" t="s">
        <v>82</v>
      </c>
      <c r="N7" s="15"/>
      <c r="U7" s="15"/>
    </row>
    <row r="8" spans="1:21" ht="20.25" customHeight="1">
      <c r="A8" s="51"/>
      <c r="B8" s="54"/>
      <c r="C8" s="52"/>
      <c r="D8" s="52"/>
      <c r="F8">
        <v>3</v>
      </c>
      <c r="G8" s="17" t="s">
        <v>83</v>
      </c>
      <c r="N8" s="13"/>
      <c r="U8" s="13"/>
    </row>
    <row r="9" spans="1:21" ht="18" customHeight="1" thickBot="1">
      <c r="A9" s="40"/>
      <c r="B9" s="55"/>
      <c r="C9" s="45"/>
      <c r="D9" s="45"/>
      <c r="F9">
        <v>0</v>
      </c>
      <c r="G9" s="18" t="s">
        <v>84</v>
      </c>
    </row>
    <row r="10" spans="1:21">
      <c r="A10" s="39" t="s">
        <v>7</v>
      </c>
      <c r="B10" s="44" t="s">
        <v>8</v>
      </c>
      <c r="C10" s="44" t="s">
        <v>85</v>
      </c>
      <c r="D10" s="44">
        <f>IF(IFERROR(SEARCH("отсутствуют", C10), 0) &gt; 0, 10, IF(IFERROR(SEARCH("имеются", C10), 0) &gt; 0, 0, ))</f>
        <v>10</v>
      </c>
      <c r="F10">
        <v>10</v>
      </c>
      <c r="G10" t="s">
        <v>85</v>
      </c>
    </row>
    <row r="11" spans="1:21" ht="24.75" customHeight="1" thickBot="1">
      <c r="A11" s="40"/>
      <c r="B11" s="45"/>
      <c r="C11" s="45"/>
      <c r="D11" s="45"/>
      <c r="F11">
        <v>0</v>
      </c>
      <c r="G11" s="13" t="s">
        <v>86</v>
      </c>
    </row>
    <row r="12" spans="1:21" ht="18" customHeight="1" thickBot="1">
      <c r="A12" s="39" t="s">
        <v>9</v>
      </c>
      <c r="B12" s="44" t="s">
        <v>10</v>
      </c>
      <c r="C12" s="44" t="s">
        <v>87</v>
      </c>
      <c r="D12" s="44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>5</v>
      </c>
      <c r="F12">
        <v>5</v>
      </c>
      <c r="G12" s="14" t="s">
        <v>87</v>
      </c>
    </row>
    <row r="13" spans="1:21" ht="15.75">
      <c r="A13" s="51"/>
      <c r="B13" s="52"/>
      <c r="C13" s="52"/>
      <c r="D13" s="52"/>
      <c r="F13">
        <v>3</v>
      </c>
      <c r="G13" s="13" t="s">
        <v>88</v>
      </c>
    </row>
    <row r="14" spans="1:21" ht="16.5" thickBot="1">
      <c r="A14" s="40"/>
      <c r="B14" s="45"/>
      <c r="C14" s="45"/>
      <c r="D14" s="45"/>
      <c r="F14">
        <v>0</v>
      </c>
      <c r="G14" s="13" t="s">
        <v>89</v>
      </c>
    </row>
    <row r="15" spans="1:21" ht="15.75">
      <c r="A15" s="39" t="s">
        <v>11</v>
      </c>
      <c r="B15" s="44" t="s">
        <v>12</v>
      </c>
      <c r="C15" s="41" t="s">
        <v>91</v>
      </c>
      <c r="D15" s="44">
        <f>IF(IFERROR(SEARCH("Отсутствуют", C15), 0) &gt; 0, 5, IF(IFERROR(SEARCH("Наличие одного", C15), 0) &gt; 0, 3, IF(IFERROR(SEARCH("Наличие двух", C15), 0) &gt; 0, 0,)))</f>
        <v>3</v>
      </c>
      <c r="F15">
        <v>5</v>
      </c>
      <c r="G15" s="19" t="s">
        <v>90</v>
      </c>
    </row>
    <row r="16" spans="1:21" ht="15.75">
      <c r="A16" s="51"/>
      <c r="B16" s="52"/>
      <c r="C16" s="53"/>
      <c r="D16" s="52"/>
      <c r="F16">
        <v>3</v>
      </c>
      <c r="G16" s="13" t="s">
        <v>91</v>
      </c>
    </row>
    <row r="17" spans="1:7" ht="92.25" customHeight="1" thickBot="1">
      <c r="A17" s="40"/>
      <c r="B17" s="45"/>
      <c r="C17" s="43"/>
      <c r="D17" s="45"/>
      <c r="F17">
        <v>0</v>
      </c>
      <c r="G17" s="13" t="s">
        <v>92</v>
      </c>
    </row>
    <row r="18" spans="1:7" ht="15" customHeight="1" thickBot="1">
      <c r="A18" s="39" t="s">
        <v>13</v>
      </c>
      <c r="B18" s="44" t="s">
        <v>14</v>
      </c>
      <c r="C18" s="41" t="s">
        <v>93</v>
      </c>
      <c r="D18" s="44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>10</v>
      </c>
      <c r="F18">
        <v>10</v>
      </c>
      <c r="G18" s="13" t="s">
        <v>93</v>
      </c>
    </row>
    <row r="19" spans="1:7" ht="15" customHeight="1" thickBot="1">
      <c r="A19" s="51"/>
      <c r="B19" s="52"/>
      <c r="C19" s="53"/>
      <c r="D19" s="52"/>
      <c r="F19">
        <v>2</v>
      </c>
      <c r="G19" s="14" t="s">
        <v>94</v>
      </c>
    </row>
    <row r="20" spans="1:7" ht="57" customHeight="1" thickBot="1">
      <c r="A20" s="40"/>
      <c r="B20" s="45"/>
      <c r="C20" s="43"/>
      <c r="D20" s="45"/>
      <c r="F20">
        <v>0</v>
      </c>
      <c r="G20" s="13" t="s">
        <v>95</v>
      </c>
    </row>
    <row r="21" spans="1:7" ht="15.75">
      <c r="A21" s="39" t="s">
        <v>15</v>
      </c>
      <c r="B21" s="44" t="s">
        <v>16</v>
      </c>
      <c r="C21" s="41" t="s">
        <v>96</v>
      </c>
      <c r="D21" s="44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>5</v>
      </c>
      <c r="F21">
        <v>5</v>
      </c>
      <c r="G21" s="13" t="s">
        <v>96</v>
      </c>
    </row>
    <row r="22" spans="1:7" ht="42.75" customHeight="1" thickBot="1">
      <c r="A22" s="40"/>
      <c r="B22" s="45"/>
      <c r="C22" s="43"/>
      <c r="D22" s="45"/>
      <c r="F22">
        <v>0</v>
      </c>
      <c r="G22" s="13" t="s">
        <v>97</v>
      </c>
    </row>
    <row r="23" spans="1:7" ht="15.75">
      <c r="A23" s="39" t="s">
        <v>17</v>
      </c>
      <c r="B23" s="44" t="s">
        <v>18</v>
      </c>
      <c r="C23" s="41" t="s">
        <v>19</v>
      </c>
      <c r="D23" s="44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>10</v>
      </c>
      <c r="F23">
        <v>10</v>
      </c>
      <c r="G23" s="13" t="s">
        <v>19</v>
      </c>
    </row>
    <row r="24" spans="1:7" ht="15.75">
      <c r="A24" s="51"/>
      <c r="B24" s="52"/>
      <c r="C24" s="53"/>
      <c r="D24" s="52"/>
      <c r="F24">
        <v>5</v>
      </c>
      <c r="G24" s="13" t="s">
        <v>98</v>
      </c>
    </row>
    <row r="25" spans="1:7" ht="82.5" customHeight="1" thickBot="1">
      <c r="A25" s="40"/>
      <c r="B25" s="45"/>
      <c r="C25" s="43"/>
      <c r="D25" s="45"/>
      <c r="F25">
        <v>0</v>
      </c>
      <c r="G25" s="13" t="s">
        <v>99</v>
      </c>
    </row>
    <row r="26" spans="1:7" ht="15.75">
      <c r="A26" s="39" t="s">
        <v>20</v>
      </c>
      <c r="B26" s="44" t="s">
        <v>21</v>
      </c>
      <c r="C26" s="41" t="s">
        <v>22</v>
      </c>
      <c r="D26" s="44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>3</v>
      </c>
      <c r="F26">
        <v>3</v>
      </c>
      <c r="G26" s="13" t="s">
        <v>22</v>
      </c>
    </row>
    <row r="27" spans="1:7" ht="41.25" customHeight="1" thickBot="1">
      <c r="A27" s="40"/>
      <c r="B27" s="45"/>
      <c r="C27" s="43"/>
      <c r="D27" s="45"/>
      <c r="F27">
        <v>0</v>
      </c>
      <c r="G27" s="13" t="s">
        <v>100</v>
      </c>
    </row>
    <row r="28" spans="1:7" ht="15.75">
      <c r="A28" s="39" t="s">
        <v>23</v>
      </c>
      <c r="B28" s="44" t="s">
        <v>24</v>
      </c>
      <c r="C28" s="41" t="s">
        <v>101</v>
      </c>
      <c r="D28" s="44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>5</v>
      </c>
      <c r="F28">
        <v>5</v>
      </c>
      <c r="G28" s="13" t="s">
        <v>101</v>
      </c>
    </row>
    <row r="29" spans="1:7" ht="15.75">
      <c r="A29" s="51"/>
      <c r="B29" s="52"/>
      <c r="C29" s="53"/>
      <c r="D29" s="52"/>
      <c r="F29">
        <v>3</v>
      </c>
      <c r="G29" s="13" t="s">
        <v>102</v>
      </c>
    </row>
    <row r="30" spans="1:7" ht="61.5" customHeight="1" thickBot="1">
      <c r="A30" s="40"/>
      <c r="B30" s="45"/>
      <c r="C30" s="43"/>
      <c r="D30" s="45"/>
      <c r="F30">
        <v>0</v>
      </c>
      <c r="G30" s="13" t="s">
        <v>103</v>
      </c>
    </row>
    <row r="31" spans="1:7" ht="15.75">
      <c r="A31" s="39" t="s">
        <v>25</v>
      </c>
      <c r="B31" s="44" t="s">
        <v>26</v>
      </c>
      <c r="C31" s="41" t="s">
        <v>104</v>
      </c>
      <c r="D31" s="44">
        <f>IF(IFERROR(SEARCH("Отсутствуют нарушения ТБ", C31), 0) &gt; 0, 10, IF(IFERROR(SEARCH("Имелись нарушения ТБ", C31), 0) &gt; 0, 0, ))</f>
        <v>10</v>
      </c>
      <c r="F31">
        <v>10</v>
      </c>
      <c r="G31" s="13" t="s">
        <v>104</v>
      </c>
    </row>
    <row r="32" spans="1:7" ht="33.75" customHeight="1" thickBot="1">
      <c r="A32" s="40"/>
      <c r="B32" s="45"/>
      <c r="C32" s="43"/>
      <c r="D32" s="45"/>
      <c r="F32">
        <v>0</v>
      </c>
      <c r="G32" s="13" t="s">
        <v>105</v>
      </c>
    </row>
    <row r="33" spans="1:7" ht="15.75">
      <c r="A33" s="39" t="s">
        <v>27</v>
      </c>
      <c r="B33" s="44" t="s">
        <v>28</v>
      </c>
      <c r="C33" s="41" t="s">
        <v>52</v>
      </c>
      <c r="D33" s="44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>10</v>
      </c>
      <c r="F33">
        <v>10</v>
      </c>
      <c r="G33" s="13" t="s">
        <v>52</v>
      </c>
    </row>
    <row r="34" spans="1:7" ht="15.75">
      <c r="A34" s="51"/>
      <c r="B34" s="52"/>
      <c r="C34" s="53"/>
      <c r="D34" s="52"/>
      <c r="F34">
        <v>5</v>
      </c>
      <c r="G34" s="13" t="s">
        <v>106</v>
      </c>
    </row>
    <row r="35" spans="1:7" ht="18" customHeight="1" thickBot="1">
      <c r="A35" s="40"/>
      <c r="B35" s="45"/>
      <c r="C35" s="43"/>
      <c r="D35" s="45"/>
      <c r="F35">
        <v>0</v>
      </c>
      <c r="G35" s="13" t="s">
        <v>107</v>
      </c>
    </row>
    <row r="36" spans="1:7" ht="15.75">
      <c r="A36" s="39" t="s">
        <v>29</v>
      </c>
      <c r="B36" s="44" t="s">
        <v>30</v>
      </c>
      <c r="C36" s="41" t="s">
        <v>31</v>
      </c>
      <c r="D36" s="44">
        <f>IF(IFERROR(SEARCH("Материальные средства ", C36), 0) &gt; 0, 5, IF(IFERROR(SEARCH("Не выполнены ", C36), 0) &gt; 0, 0, ))</f>
        <v>5</v>
      </c>
      <c r="F36">
        <v>5</v>
      </c>
      <c r="G36" s="13" t="s">
        <v>31</v>
      </c>
    </row>
    <row r="37" spans="1:7" ht="45" customHeight="1" thickBot="1">
      <c r="A37" s="40"/>
      <c r="B37" s="45"/>
      <c r="C37" s="43"/>
      <c r="D37" s="45"/>
      <c r="F37">
        <v>0</v>
      </c>
      <c r="G37" s="13" t="s">
        <v>110</v>
      </c>
    </row>
    <row r="38" spans="1:7" ht="15.75">
      <c r="A38" s="39" t="s">
        <v>32</v>
      </c>
      <c r="B38" s="44" t="s">
        <v>33</v>
      </c>
      <c r="C38" s="41" t="s">
        <v>108</v>
      </c>
      <c r="D38" s="44">
        <f>IF(IFERROR(SEARCH("5", C38), 0) &gt; 0, 2, IF(IFERROR(SEARCH("4", C38), 0) &gt; 0, 1, ))</f>
        <v>2</v>
      </c>
      <c r="F38">
        <v>2</v>
      </c>
      <c r="G38" s="13" t="s">
        <v>108</v>
      </c>
    </row>
    <row r="39" spans="1:7" ht="103.5" customHeight="1" thickBot="1">
      <c r="A39" s="40"/>
      <c r="B39" s="45"/>
      <c r="C39" s="43"/>
      <c r="D39" s="45"/>
      <c r="F39">
        <v>1</v>
      </c>
      <c r="G39" s="13" t="s">
        <v>109</v>
      </c>
    </row>
    <row r="40" spans="1:7">
      <c r="A40" s="46" t="s">
        <v>34</v>
      </c>
      <c r="B40" s="47"/>
      <c r="C40" s="66"/>
      <c r="D40" s="68">
        <f>SUM(D7:D39)</f>
        <v>81</v>
      </c>
      <c r="E40" s="65"/>
    </row>
    <row r="41" spans="1:7" ht="15.75" thickBot="1">
      <c r="A41" s="48"/>
      <c r="B41" s="49"/>
      <c r="C41" s="67"/>
      <c r="D41" s="69"/>
      <c r="E41" s="65"/>
    </row>
    <row r="43" spans="1:7" ht="20.25">
      <c r="A43" s="37" t="s">
        <v>35</v>
      </c>
      <c r="B43" s="37"/>
      <c r="C43" s="37"/>
      <c r="D43" s="5"/>
      <c r="E43" s="5"/>
    </row>
    <row r="44" spans="1:7" ht="20.25">
      <c r="A44" s="37"/>
      <c r="B44" s="37"/>
      <c r="C44" s="37"/>
      <c r="D44" s="6"/>
      <c r="E44" s="6"/>
    </row>
    <row r="45" spans="1:7" ht="20.25">
      <c r="A45" s="5"/>
      <c r="B45" s="5"/>
      <c r="C45" s="5" t="s">
        <v>36</v>
      </c>
      <c r="D45" s="5"/>
      <c r="E45" s="5"/>
    </row>
    <row r="46" spans="1:7" ht="20.25">
      <c r="A46" s="5"/>
      <c r="B46" s="5"/>
      <c r="C46" s="5" t="s">
        <v>320</v>
      </c>
    </row>
  </sheetData>
  <mergeCells count="63">
    <mergeCell ref="A1:E1"/>
    <mergeCell ref="A2:E2"/>
    <mergeCell ref="A3:E3"/>
    <mergeCell ref="A4:E4"/>
    <mergeCell ref="B5:B6"/>
    <mergeCell ref="C5:C6"/>
    <mergeCell ref="D5:D6"/>
    <mergeCell ref="A7:A9"/>
    <mergeCell ref="B7:B9"/>
    <mergeCell ref="C7:C9"/>
    <mergeCell ref="D7:D9"/>
    <mergeCell ref="A10:A11"/>
    <mergeCell ref="B10:B11"/>
    <mergeCell ref="C10:C11"/>
    <mergeCell ref="D10:D11"/>
    <mergeCell ref="A12:A14"/>
    <mergeCell ref="B12:B14"/>
    <mergeCell ref="C12:C14"/>
    <mergeCell ref="D12:D14"/>
    <mergeCell ref="A15:A17"/>
    <mergeCell ref="B15:B17"/>
    <mergeCell ref="C15:C17"/>
    <mergeCell ref="D15:D17"/>
    <mergeCell ref="A18:A20"/>
    <mergeCell ref="B18:B20"/>
    <mergeCell ref="C18:C20"/>
    <mergeCell ref="D18:D20"/>
    <mergeCell ref="A21:A22"/>
    <mergeCell ref="B21:B22"/>
    <mergeCell ref="C21:C22"/>
    <mergeCell ref="D21:D22"/>
    <mergeCell ref="A23:A25"/>
    <mergeCell ref="B23:B25"/>
    <mergeCell ref="C23:C25"/>
    <mergeCell ref="D23:D25"/>
    <mergeCell ref="A26:A27"/>
    <mergeCell ref="B26:B27"/>
    <mergeCell ref="C26:C27"/>
    <mergeCell ref="D26:D27"/>
    <mergeCell ref="A28:A30"/>
    <mergeCell ref="B28:B30"/>
    <mergeCell ref="C28:C30"/>
    <mergeCell ref="D28:D30"/>
    <mergeCell ref="A31:A32"/>
    <mergeCell ref="B31:B32"/>
    <mergeCell ref="C31:C32"/>
    <mergeCell ref="D31:D32"/>
    <mergeCell ref="A33:A35"/>
    <mergeCell ref="B33:B35"/>
    <mergeCell ref="C33:C35"/>
    <mergeCell ref="D33:D35"/>
    <mergeCell ref="A36:A37"/>
    <mergeCell ref="B36:B37"/>
    <mergeCell ref="C36:C37"/>
    <mergeCell ref="D36:D37"/>
    <mergeCell ref="E40:E41"/>
    <mergeCell ref="A43:C44"/>
    <mergeCell ref="A38:A39"/>
    <mergeCell ref="B38:B39"/>
    <mergeCell ref="C38:C39"/>
    <mergeCell ref="D38:D39"/>
    <mergeCell ref="A40:C41"/>
    <mergeCell ref="D40:D41"/>
  </mergeCells>
  <dataValidations count="13">
    <dataValidation type="list" allowBlank="1" showInputMessage="1" showErrorMessage="1" sqref="C7:C9">
      <formula1>$G$7:$G$9</formula1>
    </dataValidation>
    <dataValidation type="list" allowBlank="1" showInputMessage="1" showErrorMessage="1" sqref="C10:C11">
      <formula1>$G$10:$G$11</formula1>
    </dataValidation>
    <dataValidation type="list" allowBlank="1" showInputMessage="1" showErrorMessage="1" sqref="C12:C14">
      <formula1>$G$12:$G$14</formula1>
    </dataValidation>
    <dataValidation type="list" allowBlank="1" showInputMessage="1" showErrorMessage="1" sqref="C15:C17">
      <formula1>$G$15:$G$17</formula1>
    </dataValidation>
    <dataValidation type="list" allowBlank="1" showInputMessage="1" showErrorMessage="1" sqref="C18:C20">
      <formula1>$G$18:$G$20</formula1>
    </dataValidation>
    <dataValidation type="list" allowBlank="1" showInputMessage="1" showErrorMessage="1" sqref="C21:C22">
      <formula1>$G$21:$G$22</formula1>
    </dataValidation>
    <dataValidation type="list" allowBlank="1" showInputMessage="1" showErrorMessage="1" sqref="C23:C25">
      <formula1>$G$23:$G$25</formula1>
    </dataValidation>
    <dataValidation type="list" allowBlank="1" showInputMessage="1" showErrorMessage="1" sqref="C26:C27">
      <formula1>$G$26:$G$27</formula1>
    </dataValidation>
    <dataValidation type="list" allowBlank="1" showInputMessage="1" showErrorMessage="1" sqref="C28:C30">
      <formula1>$G$28:$G$30</formula1>
    </dataValidation>
    <dataValidation type="list" allowBlank="1" showInputMessage="1" showErrorMessage="1" sqref="C31:C32">
      <formula1>$G$31:$G$32</formula1>
    </dataValidation>
    <dataValidation type="list" allowBlank="1" showInputMessage="1" showErrorMessage="1" sqref="C33:C35">
      <formula1>$G$33:$G$35</formula1>
    </dataValidation>
    <dataValidation type="list" allowBlank="1" showInputMessage="1" showErrorMessage="1" sqref="C36:C37">
      <formula1>$G$36:$G$37</formula1>
    </dataValidation>
    <dataValidation type="list" allowBlank="1" showInputMessage="1" showErrorMessage="1" sqref="C38:C39">
      <formula1>$G$38:$G$39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92D050"/>
  </sheetPr>
  <dimension ref="A1:U46"/>
  <sheetViews>
    <sheetView zoomScale="115" zoomScaleNormal="115" workbookViewId="0">
      <selection activeCell="A3" sqref="A3:E3"/>
    </sheetView>
  </sheetViews>
  <sheetFormatPr defaultRowHeight="15"/>
  <cols>
    <col min="2" max="2" width="26" customWidth="1"/>
    <col min="3" max="3" width="58.5703125" customWidth="1"/>
    <col min="4" max="4" width="28.42578125" customWidth="1"/>
    <col min="5" max="5" width="24.140625" hidden="1" customWidth="1"/>
    <col min="6" max="6" width="24" hidden="1" customWidth="1"/>
    <col min="7" max="7" width="1.85546875" hidden="1" customWidth="1"/>
    <col min="8" max="8" width="18.42578125" customWidth="1"/>
  </cols>
  <sheetData>
    <row r="1" spans="1:21" ht="20.25">
      <c r="A1" s="56" t="s">
        <v>0</v>
      </c>
      <c r="B1" s="56"/>
      <c r="C1" s="56"/>
      <c r="D1" s="56"/>
      <c r="E1" s="56"/>
    </row>
    <row r="2" spans="1:21" ht="18.75">
      <c r="A2" s="57" t="s">
        <v>1</v>
      </c>
      <c r="B2" s="57"/>
      <c r="C2" s="57"/>
      <c r="D2" s="57"/>
      <c r="E2" s="57"/>
    </row>
    <row r="3" spans="1:21" ht="18.75" customHeight="1">
      <c r="A3" s="58" t="s">
        <v>330</v>
      </c>
      <c r="B3" s="57"/>
      <c r="C3" s="57"/>
      <c r="D3" s="57"/>
      <c r="E3" s="57"/>
    </row>
    <row r="4" spans="1:21" ht="16.5" thickBot="1">
      <c r="A4" s="59"/>
      <c r="B4" s="59"/>
      <c r="C4" s="59"/>
      <c r="D4" s="59"/>
      <c r="E4" s="59"/>
    </row>
    <row r="5" spans="1:21" ht="15.75">
      <c r="A5" s="2" t="s">
        <v>3</v>
      </c>
      <c r="B5" s="60" t="s">
        <v>54</v>
      </c>
      <c r="C5" s="60" t="s">
        <v>55</v>
      </c>
      <c r="D5" s="60" t="s">
        <v>42</v>
      </c>
    </row>
    <row r="6" spans="1:21" ht="16.5" thickBot="1">
      <c r="A6" s="4" t="s">
        <v>4</v>
      </c>
      <c r="B6" s="61"/>
      <c r="C6" s="61"/>
      <c r="D6" s="61"/>
    </row>
    <row r="7" spans="1:21" ht="13.5" customHeight="1">
      <c r="A7" s="39" t="s">
        <v>5</v>
      </c>
      <c r="B7" s="44" t="s">
        <v>6</v>
      </c>
      <c r="C7" s="44" t="s">
        <v>83</v>
      </c>
      <c r="D7" s="44">
        <f>IF(IFERROR(SEARCH("подразделения ≥ 4,5", C7), 0) &gt; 0, 5, IF(IFERROR(SEARCH("подразделения ≥ 4,0", C7), 0) &gt; 0, 3, IF(IFERROR(SEARCH("&lt;", C7), 0) &gt; 0, 0,)))</f>
        <v>3</v>
      </c>
      <c r="F7">
        <v>5</v>
      </c>
      <c r="G7" s="16" t="s">
        <v>82</v>
      </c>
      <c r="N7" s="15"/>
      <c r="U7" s="15"/>
    </row>
    <row r="8" spans="1:21" ht="20.25" customHeight="1">
      <c r="A8" s="51"/>
      <c r="B8" s="54"/>
      <c r="C8" s="52"/>
      <c r="D8" s="52"/>
      <c r="F8">
        <v>3</v>
      </c>
      <c r="G8" s="17" t="s">
        <v>83</v>
      </c>
      <c r="N8" s="13"/>
      <c r="U8" s="13"/>
    </row>
    <row r="9" spans="1:21" ht="18" customHeight="1" thickBot="1">
      <c r="A9" s="40"/>
      <c r="B9" s="55"/>
      <c r="C9" s="45"/>
      <c r="D9" s="45"/>
      <c r="F9">
        <v>0</v>
      </c>
      <c r="G9" s="18" t="s">
        <v>84</v>
      </c>
    </row>
    <row r="10" spans="1:21">
      <c r="A10" s="39" t="s">
        <v>7</v>
      </c>
      <c r="B10" s="44" t="s">
        <v>8</v>
      </c>
      <c r="C10" s="44" t="s">
        <v>85</v>
      </c>
      <c r="D10" s="44">
        <f>IF(IFERROR(SEARCH("отсутствуют", C10), 0) &gt; 0, 10, IF(IFERROR(SEARCH("имеются", C10), 0) &gt; 0, 0, ))</f>
        <v>10</v>
      </c>
      <c r="F10">
        <v>10</v>
      </c>
      <c r="G10" t="s">
        <v>85</v>
      </c>
    </row>
    <row r="11" spans="1:21" ht="24.75" customHeight="1" thickBot="1">
      <c r="A11" s="40"/>
      <c r="B11" s="45"/>
      <c r="C11" s="45"/>
      <c r="D11" s="45"/>
      <c r="F11">
        <v>0</v>
      </c>
      <c r="G11" s="13" t="s">
        <v>86</v>
      </c>
    </row>
    <row r="12" spans="1:21" ht="18" customHeight="1" thickBot="1">
      <c r="A12" s="39" t="s">
        <v>9</v>
      </c>
      <c r="B12" s="44" t="s">
        <v>10</v>
      </c>
      <c r="C12" s="44" t="s">
        <v>87</v>
      </c>
      <c r="D12" s="44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>5</v>
      </c>
      <c r="F12">
        <v>5</v>
      </c>
      <c r="G12" s="14" t="s">
        <v>87</v>
      </c>
    </row>
    <row r="13" spans="1:21" ht="15.75">
      <c r="A13" s="51"/>
      <c r="B13" s="52"/>
      <c r="C13" s="52"/>
      <c r="D13" s="52"/>
      <c r="F13">
        <v>3</v>
      </c>
      <c r="G13" s="13" t="s">
        <v>88</v>
      </c>
    </row>
    <row r="14" spans="1:21" ht="16.5" thickBot="1">
      <c r="A14" s="40"/>
      <c r="B14" s="45"/>
      <c r="C14" s="45"/>
      <c r="D14" s="45"/>
      <c r="F14">
        <v>0</v>
      </c>
      <c r="G14" s="13" t="s">
        <v>89</v>
      </c>
    </row>
    <row r="15" spans="1:21" ht="15.75">
      <c r="A15" s="39" t="s">
        <v>11</v>
      </c>
      <c r="B15" s="44" t="s">
        <v>12</v>
      </c>
      <c r="C15" s="41" t="s">
        <v>91</v>
      </c>
      <c r="D15" s="44">
        <f>IF(IFERROR(SEARCH("Отсутствуют", C15), 0) &gt; 0, 5, IF(IFERROR(SEARCH("Наличие одного", C15), 0) &gt; 0, 3, IF(IFERROR(SEARCH("Наличие двух", C15), 0) &gt; 0, 0,)))</f>
        <v>3</v>
      </c>
      <c r="F15">
        <v>5</v>
      </c>
      <c r="G15" s="19" t="s">
        <v>90</v>
      </c>
    </row>
    <row r="16" spans="1:21" ht="15.75">
      <c r="A16" s="51"/>
      <c r="B16" s="52"/>
      <c r="C16" s="53"/>
      <c r="D16" s="52"/>
      <c r="F16">
        <v>3</v>
      </c>
      <c r="G16" s="13" t="s">
        <v>91</v>
      </c>
    </row>
    <row r="17" spans="1:7" ht="92.25" customHeight="1" thickBot="1">
      <c r="A17" s="40"/>
      <c r="B17" s="45"/>
      <c r="C17" s="43"/>
      <c r="D17" s="45"/>
      <c r="F17">
        <v>0</v>
      </c>
      <c r="G17" s="13" t="s">
        <v>92</v>
      </c>
    </row>
    <row r="18" spans="1:7" ht="15" customHeight="1" thickBot="1">
      <c r="A18" s="39" t="s">
        <v>13</v>
      </c>
      <c r="B18" s="44" t="s">
        <v>14</v>
      </c>
      <c r="C18" s="41" t="s">
        <v>93</v>
      </c>
      <c r="D18" s="44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>10</v>
      </c>
      <c r="F18">
        <v>10</v>
      </c>
      <c r="G18" s="13" t="s">
        <v>93</v>
      </c>
    </row>
    <row r="19" spans="1:7" ht="15" customHeight="1" thickBot="1">
      <c r="A19" s="51"/>
      <c r="B19" s="52"/>
      <c r="C19" s="53"/>
      <c r="D19" s="52"/>
      <c r="F19">
        <v>2</v>
      </c>
      <c r="G19" s="14" t="s">
        <v>94</v>
      </c>
    </row>
    <row r="20" spans="1:7" ht="57" customHeight="1" thickBot="1">
      <c r="A20" s="40"/>
      <c r="B20" s="45"/>
      <c r="C20" s="43"/>
      <c r="D20" s="45"/>
      <c r="F20">
        <v>0</v>
      </c>
      <c r="G20" s="13" t="s">
        <v>95</v>
      </c>
    </row>
    <row r="21" spans="1:7" ht="15.75">
      <c r="A21" s="39" t="s">
        <v>15</v>
      </c>
      <c r="B21" s="44" t="s">
        <v>16</v>
      </c>
      <c r="C21" s="41" t="s">
        <v>96</v>
      </c>
      <c r="D21" s="44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>5</v>
      </c>
      <c r="F21">
        <v>5</v>
      </c>
      <c r="G21" s="13" t="s">
        <v>96</v>
      </c>
    </row>
    <row r="22" spans="1:7" ht="42.75" customHeight="1" thickBot="1">
      <c r="A22" s="40"/>
      <c r="B22" s="45"/>
      <c r="C22" s="43"/>
      <c r="D22" s="45"/>
      <c r="F22">
        <v>0</v>
      </c>
      <c r="G22" s="13" t="s">
        <v>97</v>
      </c>
    </row>
    <row r="23" spans="1:7" ht="15.75">
      <c r="A23" s="39" t="s">
        <v>17</v>
      </c>
      <c r="B23" s="44" t="s">
        <v>18</v>
      </c>
      <c r="C23" s="41" t="s">
        <v>19</v>
      </c>
      <c r="D23" s="44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>10</v>
      </c>
      <c r="F23">
        <v>10</v>
      </c>
      <c r="G23" s="13" t="s">
        <v>19</v>
      </c>
    </row>
    <row r="24" spans="1:7" ht="15.75">
      <c r="A24" s="51"/>
      <c r="B24" s="52"/>
      <c r="C24" s="53"/>
      <c r="D24" s="52"/>
      <c r="F24">
        <v>5</v>
      </c>
      <c r="G24" s="13" t="s">
        <v>98</v>
      </c>
    </row>
    <row r="25" spans="1:7" ht="82.5" customHeight="1" thickBot="1">
      <c r="A25" s="40"/>
      <c r="B25" s="45"/>
      <c r="C25" s="43"/>
      <c r="D25" s="45"/>
      <c r="F25">
        <v>0</v>
      </c>
      <c r="G25" s="13" t="s">
        <v>99</v>
      </c>
    </row>
    <row r="26" spans="1:7" ht="15.75">
      <c r="A26" s="39" t="s">
        <v>20</v>
      </c>
      <c r="B26" s="44" t="s">
        <v>21</v>
      </c>
      <c r="C26" s="41" t="s">
        <v>22</v>
      </c>
      <c r="D26" s="44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>3</v>
      </c>
      <c r="F26">
        <v>3</v>
      </c>
      <c r="G26" s="13" t="s">
        <v>22</v>
      </c>
    </row>
    <row r="27" spans="1:7" ht="41.25" customHeight="1" thickBot="1">
      <c r="A27" s="40"/>
      <c r="B27" s="45"/>
      <c r="C27" s="43"/>
      <c r="D27" s="45"/>
      <c r="F27">
        <v>0</v>
      </c>
      <c r="G27" s="13" t="s">
        <v>100</v>
      </c>
    </row>
    <row r="28" spans="1:7" ht="15.75">
      <c r="A28" s="39" t="s">
        <v>23</v>
      </c>
      <c r="B28" s="44" t="s">
        <v>24</v>
      </c>
      <c r="C28" s="41" t="s">
        <v>101</v>
      </c>
      <c r="D28" s="44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>5</v>
      </c>
      <c r="F28">
        <v>5</v>
      </c>
      <c r="G28" s="13" t="s">
        <v>101</v>
      </c>
    </row>
    <row r="29" spans="1:7" ht="15.75">
      <c r="A29" s="51"/>
      <c r="B29" s="52"/>
      <c r="C29" s="53"/>
      <c r="D29" s="52"/>
      <c r="F29">
        <v>3</v>
      </c>
      <c r="G29" s="13" t="s">
        <v>102</v>
      </c>
    </row>
    <row r="30" spans="1:7" ht="61.5" customHeight="1" thickBot="1">
      <c r="A30" s="40"/>
      <c r="B30" s="45"/>
      <c r="C30" s="43"/>
      <c r="D30" s="45"/>
      <c r="F30">
        <v>0</v>
      </c>
      <c r="G30" s="13" t="s">
        <v>103</v>
      </c>
    </row>
    <row r="31" spans="1:7" ht="15.75">
      <c r="A31" s="39" t="s">
        <v>25</v>
      </c>
      <c r="B31" s="44" t="s">
        <v>26</v>
      </c>
      <c r="C31" s="41" t="s">
        <v>104</v>
      </c>
      <c r="D31" s="44">
        <f>IF(IFERROR(SEARCH("Отсутствуют нарушения ТБ", C31), 0) &gt; 0, 10, IF(IFERROR(SEARCH("Имелись нарушения ТБ", C31), 0) &gt; 0, 0, ))</f>
        <v>10</v>
      </c>
      <c r="F31">
        <v>10</v>
      </c>
      <c r="G31" s="13" t="s">
        <v>104</v>
      </c>
    </row>
    <row r="32" spans="1:7" ht="33.75" customHeight="1" thickBot="1">
      <c r="A32" s="40"/>
      <c r="B32" s="45"/>
      <c r="C32" s="43"/>
      <c r="D32" s="45"/>
      <c r="F32">
        <v>0</v>
      </c>
      <c r="G32" s="13" t="s">
        <v>105</v>
      </c>
    </row>
    <row r="33" spans="1:7" ht="15.75">
      <c r="A33" s="39" t="s">
        <v>27</v>
      </c>
      <c r="B33" s="44" t="s">
        <v>28</v>
      </c>
      <c r="C33" s="41" t="s">
        <v>52</v>
      </c>
      <c r="D33" s="44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>10</v>
      </c>
      <c r="F33">
        <v>10</v>
      </c>
      <c r="G33" s="13" t="s">
        <v>52</v>
      </c>
    </row>
    <row r="34" spans="1:7" ht="15.75">
      <c r="A34" s="51"/>
      <c r="B34" s="52"/>
      <c r="C34" s="53"/>
      <c r="D34" s="52"/>
      <c r="F34">
        <v>5</v>
      </c>
      <c r="G34" s="13" t="s">
        <v>106</v>
      </c>
    </row>
    <row r="35" spans="1:7" ht="18" customHeight="1" thickBot="1">
      <c r="A35" s="40"/>
      <c r="B35" s="45"/>
      <c r="C35" s="43"/>
      <c r="D35" s="45"/>
      <c r="F35">
        <v>0</v>
      </c>
      <c r="G35" s="13" t="s">
        <v>107</v>
      </c>
    </row>
    <row r="36" spans="1:7" ht="15.75">
      <c r="A36" s="39" t="s">
        <v>29</v>
      </c>
      <c r="B36" s="44" t="s">
        <v>30</v>
      </c>
      <c r="C36" s="41" t="s">
        <v>31</v>
      </c>
      <c r="D36" s="44">
        <f>IF(IFERROR(SEARCH("Материальные средства ", C36), 0) &gt; 0, 5, IF(IFERROR(SEARCH("Не выполнены ", C36), 0) &gt; 0, 0, ))</f>
        <v>5</v>
      </c>
      <c r="F36">
        <v>5</v>
      </c>
      <c r="G36" s="13" t="s">
        <v>31</v>
      </c>
    </row>
    <row r="37" spans="1:7" ht="45" customHeight="1" thickBot="1">
      <c r="A37" s="40"/>
      <c r="B37" s="45"/>
      <c r="C37" s="43"/>
      <c r="D37" s="45"/>
      <c r="F37">
        <v>0</v>
      </c>
      <c r="G37" s="13" t="s">
        <v>110</v>
      </c>
    </row>
    <row r="38" spans="1:7" ht="15.75">
      <c r="A38" s="39" t="s">
        <v>32</v>
      </c>
      <c r="B38" s="44" t="s">
        <v>33</v>
      </c>
      <c r="C38" s="41" t="s">
        <v>108</v>
      </c>
      <c r="D38" s="44">
        <f>IF(IFERROR(SEARCH("5", C38), 0) &gt; 0, 2, IF(IFERROR(SEARCH("4", C38), 0) &gt; 0, 1, ))</f>
        <v>2</v>
      </c>
      <c r="F38">
        <v>2</v>
      </c>
      <c r="G38" s="13" t="s">
        <v>108</v>
      </c>
    </row>
    <row r="39" spans="1:7" ht="103.5" customHeight="1" thickBot="1">
      <c r="A39" s="40"/>
      <c r="B39" s="45"/>
      <c r="C39" s="43"/>
      <c r="D39" s="45"/>
      <c r="F39">
        <v>1</v>
      </c>
      <c r="G39" s="13" t="s">
        <v>109</v>
      </c>
    </row>
    <row r="40" spans="1:7">
      <c r="A40" s="46" t="s">
        <v>34</v>
      </c>
      <c r="B40" s="47"/>
      <c r="C40" s="66"/>
      <c r="D40" s="68">
        <f>SUM(D7:D39)</f>
        <v>81</v>
      </c>
      <c r="E40" s="65"/>
    </row>
    <row r="41" spans="1:7" ht="15.75" thickBot="1">
      <c r="A41" s="48"/>
      <c r="B41" s="49"/>
      <c r="C41" s="67"/>
      <c r="D41" s="69"/>
      <c r="E41" s="65"/>
    </row>
    <row r="43" spans="1:7" ht="20.25">
      <c r="A43" s="37" t="s">
        <v>35</v>
      </c>
      <c r="B43" s="37"/>
      <c r="C43" s="37"/>
      <c r="D43" s="5"/>
      <c r="E43" s="5"/>
    </row>
    <row r="44" spans="1:7" ht="20.25">
      <c r="A44" s="37"/>
      <c r="B44" s="37"/>
      <c r="C44" s="37"/>
      <c r="D44" s="6"/>
      <c r="E44" s="6"/>
    </row>
    <row r="45" spans="1:7" ht="20.25">
      <c r="A45" s="5"/>
      <c r="B45" s="5"/>
      <c r="C45" s="5" t="s">
        <v>36</v>
      </c>
      <c r="D45" s="5"/>
      <c r="E45" s="5"/>
    </row>
    <row r="46" spans="1:7" ht="20.25">
      <c r="A46" s="5"/>
      <c r="B46" s="5"/>
      <c r="C46" s="5" t="s">
        <v>320</v>
      </c>
    </row>
  </sheetData>
  <mergeCells count="63">
    <mergeCell ref="A1:E1"/>
    <mergeCell ref="A2:E2"/>
    <mergeCell ref="A3:E3"/>
    <mergeCell ref="A4:E4"/>
    <mergeCell ref="B5:B6"/>
    <mergeCell ref="C5:C6"/>
    <mergeCell ref="D5:D6"/>
    <mergeCell ref="A7:A9"/>
    <mergeCell ref="B7:B9"/>
    <mergeCell ref="C7:C9"/>
    <mergeCell ref="D7:D9"/>
    <mergeCell ref="A10:A11"/>
    <mergeCell ref="B10:B11"/>
    <mergeCell ref="C10:C11"/>
    <mergeCell ref="D10:D11"/>
    <mergeCell ref="A12:A14"/>
    <mergeCell ref="B12:B14"/>
    <mergeCell ref="C12:C14"/>
    <mergeCell ref="D12:D14"/>
    <mergeCell ref="A15:A17"/>
    <mergeCell ref="B15:B17"/>
    <mergeCell ref="C15:C17"/>
    <mergeCell ref="D15:D17"/>
    <mergeCell ref="A18:A20"/>
    <mergeCell ref="B18:B20"/>
    <mergeCell ref="C18:C20"/>
    <mergeCell ref="D18:D20"/>
    <mergeCell ref="A21:A22"/>
    <mergeCell ref="B21:B22"/>
    <mergeCell ref="C21:C22"/>
    <mergeCell ref="D21:D22"/>
    <mergeCell ref="A23:A25"/>
    <mergeCell ref="B23:B25"/>
    <mergeCell ref="C23:C25"/>
    <mergeCell ref="D23:D25"/>
    <mergeCell ref="A26:A27"/>
    <mergeCell ref="B26:B27"/>
    <mergeCell ref="C26:C27"/>
    <mergeCell ref="D26:D27"/>
    <mergeCell ref="A28:A30"/>
    <mergeCell ref="B28:B30"/>
    <mergeCell ref="C28:C30"/>
    <mergeCell ref="D28:D30"/>
    <mergeCell ref="A31:A32"/>
    <mergeCell ref="B31:B32"/>
    <mergeCell ref="C31:C32"/>
    <mergeCell ref="D31:D32"/>
    <mergeCell ref="A33:A35"/>
    <mergeCell ref="B33:B35"/>
    <mergeCell ref="C33:C35"/>
    <mergeCell ref="D33:D35"/>
    <mergeCell ref="A36:A37"/>
    <mergeCell ref="B36:B37"/>
    <mergeCell ref="C36:C37"/>
    <mergeCell ref="D36:D37"/>
    <mergeCell ref="E40:E41"/>
    <mergeCell ref="A43:C44"/>
    <mergeCell ref="A38:A39"/>
    <mergeCell ref="B38:B39"/>
    <mergeCell ref="C38:C39"/>
    <mergeCell ref="D38:D39"/>
    <mergeCell ref="A40:C41"/>
    <mergeCell ref="D40:D41"/>
  </mergeCells>
  <dataValidations count="13">
    <dataValidation type="list" allowBlank="1" showInputMessage="1" showErrorMessage="1" sqref="C7:C9">
      <formula1>$G$7:$G$9</formula1>
    </dataValidation>
    <dataValidation type="list" allowBlank="1" showInputMessage="1" showErrorMessage="1" sqref="C10:C11">
      <formula1>$G$10:$G$11</formula1>
    </dataValidation>
    <dataValidation type="list" allowBlank="1" showInputMessage="1" showErrorMessage="1" sqref="C12:C14">
      <formula1>$G$12:$G$14</formula1>
    </dataValidation>
    <dataValidation type="list" allowBlank="1" showInputMessage="1" showErrorMessage="1" sqref="C15:C17">
      <formula1>$G$15:$G$17</formula1>
    </dataValidation>
    <dataValidation type="list" allowBlank="1" showInputMessage="1" showErrorMessage="1" sqref="C18:C20">
      <formula1>$G$18:$G$20</formula1>
    </dataValidation>
    <dataValidation type="list" allowBlank="1" showInputMessage="1" showErrorMessage="1" sqref="C21:C22">
      <formula1>$G$21:$G$22</formula1>
    </dataValidation>
    <dataValidation type="list" allowBlank="1" showInputMessage="1" showErrorMessage="1" sqref="C23:C25">
      <formula1>$G$23:$G$25</formula1>
    </dataValidation>
    <dataValidation type="list" allowBlank="1" showInputMessage="1" showErrorMessage="1" sqref="C26:C27">
      <formula1>$G$26:$G$27</formula1>
    </dataValidation>
    <dataValidation type="list" allowBlank="1" showInputMessage="1" showErrorMessage="1" sqref="C28:C30">
      <formula1>$G$28:$G$30</formula1>
    </dataValidation>
    <dataValidation type="list" allowBlank="1" showInputMessage="1" showErrorMessage="1" sqref="C31:C32">
      <formula1>$G$31:$G$32</formula1>
    </dataValidation>
    <dataValidation type="list" allowBlank="1" showInputMessage="1" showErrorMessage="1" sqref="C33:C35">
      <formula1>$G$33:$G$35</formula1>
    </dataValidation>
    <dataValidation type="list" allowBlank="1" showInputMessage="1" showErrorMessage="1" sqref="C36:C37">
      <formula1>$G$36:$G$37</formula1>
    </dataValidation>
    <dataValidation type="list" allowBlank="1" showInputMessage="1" showErrorMessage="1" sqref="C38:C39">
      <formula1>$G$38:$G$39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92D050"/>
  </sheetPr>
  <dimension ref="A1:U46"/>
  <sheetViews>
    <sheetView zoomScale="115" zoomScaleNormal="115" workbookViewId="0">
      <selection activeCell="A3" sqref="A3:E3"/>
    </sheetView>
  </sheetViews>
  <sheetFormatPr defaultRowHeight="15"/>
  <cols>
    <col min="2" max="2" width="26" customWidth="1"/>
    <col min="3" max="3" width="58.5703125" customWidth="1"/>
    <col min="4" max="4" width="28.42578125" customWidth="1"/>
    <col min="5" max="5" width="24.140625" hidden="1" customWidth="1"/>
    <col min="6" max="6" width="24" hidden="1" customWidth="1"/>
    <col min="7" max="7" width="1.85546875" hidden="1" customWidth="1"/>
    <col min="8" max="8" width="18.42578125" customWidth="1"/>
  </cols>
  <sheetData>
    <row r="1" spans="1:21" ht="20.25">
      <c r="A1" s="56" t="s">
        <v>0</v>
      </c>
      <c r="B1" s="56"/>
      <c r="C1" s="56"/>
      <c r="D1" s="56"/>
      <c r="E1" s="56"/>
    </row>
    <row r="2" spans="1:21" ht="18.75">
      <c r="A2" s="57" t="s">
        <v>1</v>
      </c>
      <c r="B2" s="57"/>
      <c r="C2" s="57"/>
      <c r="D2" s="57"/>
      <c r="E2" s="57"/>
    </row>
    <row r="3" spans="1:21" ht="18.75" customHeight="1">
      <c r="A3" s="58" t="s">
        <v>329</v>
      </c>
      <c r="B3" s="57"/>
      <c r="C3" s="57"/>
      <c r="D3" s="57"/>
      <c r="E3" s="57"/>
    </row>
    <row r="4" spans="1:21" ht="16.5" thickBot="1">
      <c r="A4" s="59"/>
      <c r="B4" s="59"/>
      <c r="C4" s="59"/>
      <c r="D4" s="59"/>
      <c r="E4" s="59"/>
    </row>
    <row r="5" spans="1:21" ht="15.75">
      <c r="A5" s="2" t="s">
        <v>3</v>
      </c>
      <c r="B5" s="60" t="s">
        <v>54</v>
      </c>
      <c r="C5" s="60" t="s">
        <v>55</v>
      </c>
      <c r="D5" s="60" t="s">
        <v>42</v>
      </c>
    </row>
    <row r="6" spans="1:21" ht="16.5" thickBot="1">
      <c r="A6" s="4" t="s">
        <v>4</v>
      </c>
      <c r="B6" s="61"/>
      <c r="C6" s="61"/>
      <c r="D6" s="61"/>
    </row>
    <row r="7" spans="1:21" ht="13.5" customHeight="1">
      <c r="A7" s="39" t="s">
        <v>5</v>
      </c>
      <c r="B7" s="44" t="s">
        <v>6</v>
      </c>
      <c r="C7" s="44" t="s">
        <v>83</v>
      </c>
      <c r="D7" s="44">
        <f>IF(IFERROR(SEARCH("подразделения ≥ 4,5", C7), 0) &gt; 0, 5, IF(IFERROR(SEARCH("подразделения ≥ 4,0", C7), 0) &gt; 0, 3, IF(IFERROR(SEARCH("&lt;", C7), 0) &gt; 0, 0,)))</f>
        <v>3</v>
      </c>
      <c r="F7">
        <v>5</v>
      </c>
      <c r="G7" s="16" t="s">
        <v>82</v>
      </c>
      <c r="N7" s="15"/>
      <c r="U7" s="15"/>
    </row>
    <row r="8" spans="1:21" ht="20.25" customHeight="1">
      <c r="A8" s="51"/>
      <c r="B8" s="54"/>
      <c r="C8" s="52"/>
      <c r="D8" s="52"/>
      <c r="F8">
        <v>3</v>
      </c>
      <c r="G8" s="17" t="s">
        <v>83</v>
      </c>
      <c r="N8" s="13"/>
      <c r="U8" s="13"/>
    </row>
    <row r="9" spans="1:21" ht="18" customHeight="1" thickBot="1">
      <c r="A9" s="40"/>
      <c r="B9" s="55"/>
      <c r="C9" s="45"/>
      <c r="D9" s="45"/>
      <c r="F9">
        <v>0</v>
      </c>
      <c r="G9" s="18" t="s">
        <v>84</v>
      </c>
    </row>
    <row r="10" spans="1:21">
      <c r="A10" s="39" t="s">
        <v>7</v>
      </c>
      <c r="B10" s="44" t="s">
        <v>8</v>
      </c>
      <c r="C10" s="44" t="s">
        <v>85</v>
      </c>
      <c r="D10" s="44">
        <f>IF(IFERROR(SEARCH("отсутствуют", C10), 0) &gt; 0, 10, IF(IFERROR(SEARCH("имеются", C10), 0) &gt; 0, 0, ))</f>
        <v>10</v>
      </c>
      <c r="F10">
        <v>10</v>
      </c>
      <c r="G10" t="s">
        <v>85</v>
      </c>
    </row>
    <row r="11" spans="1:21" ht="24.75" customHeight="1" thickBot="1">
      <c r="A11" s="40"/>
      <c r="B11" s="45"/>
      <c r="C11" s="45"/>
      <c r="D11" s="45"/>
      <c r="F11">
        <v>0</v>
      </c>
      <c r="G11" s="13" t="s">
        <v>86</v>
      </c>
    </row>
    <row r="12" spans="1:21" ht="18" customHeight="1" thickBot="1">
      <c r="A12" s="39" t="s">
        <v>9</v>
      </c>
      <c r="B12" s="44" t="s">
        <v>10</v>
      </c>
      <c r="C12" s="44" t="s">
        <v>87</v>
      </c>
      <c r="D12" s="44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>5</v>
      </c>
      <c r="F12">
        <v>5</v>
      </c>
      <c r="G12" s="14" t="s">
        <v>87</v>
      </c>
    </row>
    <row r="13" spans="1:21" ht="15.75">
      <c r="A13" s="51"/>
      <c r="B13" s="52"/>
      <c r="C13" s="52"/>
      <c r="D13" s="52"/>
      <c r="F13">
        <v>3</v>
      </c>
      <c r="G13" s="13" t="s">
        <v>88</v>
      </c>
    </row>
    <row r="14" spans="1:21" ht="16.5" thickBot="1">
      <c r="A14" s="40"/>
      <c r="B14" s="45"/>
      <c r="C14" s="45"/>
      <c r="D14" s="45"/>
      <c r="F14">
        <v>0</v>
      </c>
      <c r="G14" s="13" t="s">
        <v>89</v>
      </c>
    </row>
    <row r="15" spans="1:21" ht="15.75">
      <c r="A15" s="39" t="s">
        <v>11</v>
      </c>
      <c r="B15" s="44" t="s">
        <v>12</v>
      </c>
      <c r="C15" s="41" t="s">
        <v>91</v>
      </c>
      <c r="D15" s="44">
        <f>IF(IFERROR(SEARCH("Отсутствуют", C15), 0) &gt; 0, 5, IF(IFERROR(SEARCH("Наличие одного", C15), 0) &gt; 0, 3, IF(IFERROR(SEARCH("Наличие двух", C15), 0) &gt; 0, 0,)))</f>
        <v>3</v>
      </c>
      <c r="F15">
        <v>5</v>
      </c>
      <c r="G15" s="19" t="s">
        <v>90</v>
      </c>
    </row>
    <row r="16" spans="1:21" ht="15.75">
      <c r="A16" s="51"/>
      <c r="B16" s="52"/>
      <c r="C16" s="53"/>
      <c r="D16" s="52"/>
      <c r="F16">
        <v>3</v>
      </c>
      <c r="G16" s="13" t="s">
        <v>91</v>
      </c>
    </row>
    <row r="17" spans="1:7" ht="92.25" customHeight="1" thickBot="1">
      <c r="A17" s="40"/>
      <c r="B17" s="45"/>
      <c r="C17" s="43"/>
      <c r="D17" s="45"/>
      <c r="F17">
        <v>0</v>
      </c>
      <c r="G17" s="13" t="s">
        <v>92</v>
      </c>
    </row>
    <row r="18" spans="1:7" ht="15" customHeight="1" thickBot="1">
      <c r="A18" s="39" t="s">
        <v>13</v>
      </c>
      <c r="B18" s="44" t="s">
        <v>14</v>
      </c>
      <c r="C18" s="41" t="s">
        <v>93</v>
      </c>
      <c r="D18" s="44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>10</v>
      </c>
      <c r="F18">
        <v>10</v>
      </c>
      <c r="G18" s="13" t="s">
        <v>93</v>
      </c>
    </row>
    <row r="19" spans="1:7" ht="15" customHeight="1" thickBot="1">
      <c r="A19" s="51"/>
      <c r="B19" s="52"/>
      <c r="C19" s="53"/>
      <c r="D19" s="52"/>
      <c r="F19">
        <v>2</v>
      </c>
      <c r="G19" s="14" t="s">
        <v>94</v>
      </c>
    </row>
    <row r="20" spans="1:7" ht="57" customHeight="1" thickBot="1">
      <c r="A20" s="40"/>
      <c r="B20" s="45"/>
      <c r="C20" s="43"/>
      <c r="D20" s="45"/>
      <c r="F20">
        <v>0</v>
      </c>
      <c r="G20" s="13" t="s">
        <v>95</v>
      </c>
    </row>
    <row r="21" spans="1:7" ht="15.75">
      <c r="A21" s="39" t="s">
        <v>15</v>
      </c>
      <c r="B21" s="44" t="s">
        <v>16</v>
      </c>
      <c r="C21" s="41" t="s">
        <v>96</v>
      </c>
      <c r="D21" s="44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>5</v>
      </c>
      <c r="F21">
        <v>5</v>
      </c>
      <c r="G21" s="13" t="s">
        <v>96</v>
      </c>
    </row>
    <row r="22" spans="1:7" ht="42.75" customHeight="1" thickBot="1">
      <c r="A22" s="40"/>
      <c r="B22" s="45"/>
      <c r="C22" s="43"/>
      <c r="D22" s="45"/>
      <c r="F22">
        <v>0</v>
      </c>
      <c r="G22" s="13" t="s">
        <v>97</v>
      </c>
    </row>
    <row r="23" spans="1:7" ht="15.75">
      <c r="A23" s="39" t="s">
        <v>17</v>
      </c>
      <c r="B23" s="44" t="s">
        <v>18</v>
      </c>
      <c r="C23" s="41" t="s">
        <v>19</v>
      </c>
      <c r="D23" s="44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>10</v>
      </c>
      <c r="F23">
        <v>10</v>
      </c>
      <c r="G23" s="13" t="s">
        <v>19</v>
      </c>
    </row>
    <row r="24" spans="1:7" ht="15.75">
      <c r="A24" s="51"/>
      <c r="B24" s="52"/>
      <c r="C24" s="53"/>
      <c r="D24" s="52"/>
      <c r="F24">
        <v>5</v>
      </c>
      <c r="G24" s="13" t="s">
        <v>98</v>
      </c>
    </row>
    <row r="25" spans="1:7" ht="82.5" customHeight="1" thickBot="1">
      <c r="A25" s="40"/>
      <c r="B25" s="45"/>
      <c r="C25" s="43"/>
      <c r="D25" s="45"/>
      <c r="F25">
        <v>0</v>
      </c>
      <c r="G25" s="13" t="s">
        <v>99</v>
      </c>
    </row>
    <row r="26" spans="1:7" ht="15.75">
      <c r="A26" s="39" t="s">
        <v>20</v>
      </c>
      <c r="B26" s="44" t="s">
        <v>21</v>
      </c>
      <c r="C26" s="41" t="s">
        <v>22</v>
      </c>
      <c r="D26" s="44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>3</v>
      </c>
      <c r="F26">
        <v>3</v>
      </c>
      <c r="G26" s="13" t="s">
        <v>22</v>
      </c>
    </row>
    <row r="27" spans="1:7" ht="41.25" customHeight="1" thickBot="1">
      <c r="A27" s="40"/>
      <c r="B27" s="45"/>
      <c r="C27" s="43"/>
      <c r="D27" s="45"/>
      <c r="F27">
        <v>0</v>
      </c>
      <c r="G27" s="13" t="s">
        <v>100</v>
      </c>
    </row>
    <row r="28" spans="1:7" ht="15.75">
      <c r="A28" s="39" t="s">
        <v>23</v>
      </c>
      <c r="B28" s="44" t="s">
        <v>24</v>
      </c>
      <c r="C28" s="41" t="s">
        <v>101</v>
      </c>
      <c r="D28" s="44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>5</v>
      </c>
      <c r="F28">
        <v>5</v>
      </c>
      <c r="G28" s="13" t="s">
        <v>101</v>
      </c>
    </row>
    <row r="29" spans="1:7" ht="15.75">
      <c r="A29" s="51"/>
      <c r="B29" s="52"/>
      <c r="C29" s="53"/>
      <c r="D29" s="52"/>
      <c r="F29">
        <v>3</v>
      </c>
      <c r="G29" s="13" t="s">
        <v>102</v>
      </c>
    </row>
    <row r="30" spans="1:7" ht="61.5" customHeight="1" thickBot="1">
      <c r="A30" s="40"/>
      <c r="B30" s="45"/>
      <c r="C30" s="43"/>
      <c r="D30" s="45"/>
      <c r="F30">
        <v>0</v>
      </c>
      <c r="G30" s="13" t="s">
        <v>103</v>
      </c>
    </row>
    <row r="31" spans="1:7" ht="15.75">
      <c r="A31" s="39" t="s">
        <v>25</v>
      </c>
      <c r="B31" s="44" t="s">
        <v>26</v>
      </c>
      <c r="C31" s="41" t="s">
        <v>104</v>
      </c>
      <c r="D31" s="44">
        <f>IF(IFERROR(SEARCH("Отсутствуют нарушения ТБ", C31), 0) &gt; 0, 10, IF(IFERROR(SEARCH("Имелись нарушения ТБ", C31), 0) &gt; 0, 0, ))</f>
        <v>10</v>
      </c>
      <c r="F31">
        <v>10</v>
      </c>
      <c r="G31" s="13" t="s">
        <v>104</v>
      </c>
    </row>
    <row r="32" spans="1:7" ht="33.75" customHeight="1" thickBot="1">
      <c r="A32" s="40"/>
      <c r="B32" s="45"/>
      <c r="C32" s="43"/>
      <c r="D32" s="45"/>
      <c r="F32">
        <v>0</v>
      </c>
      <c r="G32" s="13" t="s">
        <v>105</v>
      </c>
    </row>
    <row r="33" spans="1:7" ht="15.75">
      <c r="A33" s="39" t="s">
        <v>27</v>
      </c>
      <c r="B33" s="44" t="s">
        <v>28</v>
      </c>
      <c r="C33" s="41" t="s">
        <v>52</v>
      </c>
      <c r="D33" s="44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>10</v>
      </c>
      <c r="F33">
        <v>10</v>
      </c>
      <c r="G33" s="13" t="s">
        <v>52</v>
      </c>
    </row>
    <row r="34" spans="1:7" ht="15.75">
      <c r="A34" s="51"/>
      <c r="B34" s="52"/>
      <c r="C34" s="53"/>
      <c r="D34" s="52"/>
      <c r="F34">
        <v>5</v>
      </c>
      <c r="G34" s="13" t="s">
        <v>106</v>
      </c>
    </row>
    <row r="35" spans="1:7" ht="18" customHeight="1" thickBot="1">
      <c r="A35" s="40"/>
      <c r="B35" s="45"/>
      <c r="C35" s="43"/>
      <c r="D35" s="45"/>
      <c r="F35">
        <v>0</v>
      </c>
      <c r="G35" s="13" t="s">
        <v>107</v>
      </c>
    </row>
    <row r="36" spans="1:7" ht="15.75">
      <c r="A36" s="39" t="s">
        <v>29</v>
      </c>
      <c r="B36" s="44" t="s">
        <v>30</v>
      </c>
      <c r="C36" s="41" t="s">
        <v>31</v>
      </c>
      <c r="D36" s="44">
        <f>IF(IFERROR(SEARCH("Материальные средства ", C36), 0) &gt; 0, 5, IF(IFERROR(SEARCH("Не выполнены ", C36), 0) &gt; 0, 0, ))</f>
        <v>5</v>
      </c>
      <c r="F36">
        <v>5</v>
      </c>
      <c r="G36" s="13" t="s">
        <v>31</v>
      </c>
    </row>
    <row r="37" spans="1:7" ht="45" customHeight="1" thickBot="1">
      <c r="A37" s="40"/>
      <c r="B37" s="45"/>
      <c r="C37" s="43"/>
      <c r="D37" s="45"/>
      <c r="F37">
        <v>0</v>
      </c>
      <c r="G37" s="13" t="s">
        <v>110</v>
      </c>
    </row>
    <row r="38" spans="1:7" ht="15.75">
      <c r="A38" s="39" t="s">
        <v>32</v>
      </c>
      <c r="B38" s="44" t="s">
        <v>33</v>
      </c>
      <c r="C38" s="41" t="s">
        <v>108</v>
      </c>
      <c r="D38" s="44">
        <f>IF(IFERROR(SEARCH("5", C38), 0) &gt; 0, 2, IF(IFERROR(SEARCH("4", C38), 0) &gt; 0, 1, ))</f>
        <v>2</v>
      </c>
      <c r="F38">
        <v>2</v>
      </c>
      <c r="G38" s="13" t="s">
        <v>108</v>
      </c>
    </row>
    <row r="39" spans="1:7" ht="103.5" customHeight="1" thickBot="1">
      <c r="A39" s="40"/>
      <c r="B39" s="45"/>
      <c r="C39" s="43"/>
      <c r="D39" s="45"/>
      <c r="F39">
        <v>1</v>
      </c>
      <c r="G39" s="13" t="s">
        <v>109</v>
      </c>
    </row>
    <row r="40" spans="1:7">
      <c r="A40" s="46" t="s">
        <v>34</v>
      </c>
      <c r="B40" s="47"/>
      <c r="C40" s="66"/>
      <c r="D40" s="68">
        <f>SUM(D7:D39)</f>
        <v>81</v>
      </c>
      <c r="E40" s="65"/>
    </row>
    <row r="41" spans="1:7" ht="15.75" thickBot="1">
      <c r="A41" s="48"/>
      <c r="B41" s="49"/>
      <c r="C41" s="67"/>
      <c r="D41" s="69"/>
      <c r="E41" s="65"/>
    </row>
    <row r="43" spans="1:7" ht="20.25">
      <c r="A43" s="37" t="s">
        <v>35</v>
      </c>
      <c r="B43" s="37"/>
      <c r="C43" s="37"/>
      <c r="D43" s="5"/>
      <c r="E43" s="5"/>
    </row>
    <row r="44" spans="1:7" ht="20.25">
      <c r="A44" s="37"/>
      <c r="B44" s="37"/>
      <c r="C44" s="37"/>
      <c r="D44" s="6"/>
      <c r="E44" s="6"/>
    </row>
    <row r="45" spans="1:7" ht="20.25">
      <c r="A45" s="5"/>
      <c r="B45" s="5"/>
      <c r="C45" s="5" t="s">
        <v>36</v>
      </c>
      <c r="D45" s="5"/>
      <c r="E45" s="5"/>
    </row>
    <row r="46" spans="1:7" ht="20.25">
      <c r="A46" s="5"/>
      <c r="B46" s="5"/>
      <c r="C46" s="5" t="s">
        <v>320</v>
      </c>
    </row>
  </sheetData>
  <mergeCells count="63">
    <mergeCell ref="A1:E1"/>
    <mergeCell ref="A2:E2"/>
    <mergeCell ref="A3:E3"/>
    <mergeCell ref="A4:E4"/>
    <mergeCell ref="B5:B6"/>
    <mergeCell ref="C5:C6"/>
    <mergeCell ref="D5:D6"/>
    <mergeCell ref="A7:A9"/>
    <mergeCell ref="B7:B9"/>
    <mergeCell ref="C7:C9"/>
    <mergeCell ref="D7:D9"/>
    <mergeCell ref="A10:A11"/>
    <mergeCell ref="B10:B11"/>
    <mergeCell ref="C10:C11"/>
    <mergeCell ref="D10:D11"/>
    <mergeCell ref="A12:A14"/>
    <mergeCell ref="B12:B14"/>
    <mergeCell ref="C12:C14"/>
    <mergeCell ref="D12:D14"/>
    <mergeCell ref="A15:A17"/>
    <mergeCell ref="B15:B17"/>
    <mergeCell ref="C15:C17"/>
    <mergeCell ref="D15:D17"/>
    <mergeCell ref="A18:A20"/>
    <mergeCell ref="B18:B20"/>
    <mergeCell ref="C18:C20"/>
    <mergeCell ref="D18:D20"/>
    <mergeCell ref="A21:A22"/>
    <mergeCell ref="B21:B22"/>
    <mergeCell ref="C21:C22"/>
    <mergeCell ref="D21:D22"/>
    <mergeCell ref="A23:A25"/>
    <mergeCell ref="B23:B25"/>
    <mergeCell ref="C23:C25"/>
    <mergeCell ref="D23:D25"/>
    <mergeCell ref="A26:A27"/>
    <mergeCell ref="B26:B27"/>
    <mergeCell ref="C26:C27"/>
    <mergeCell ref="D26:D27"/>
    <mergeCell ref="A28:A30"/>
    <mergeCell ref="B28:B30"/>
    <mergeCell ref="C28:C30"/>
    <mergeCell ref="D28:D30"/>
    <mergeCell ref="A31:A32"/>
    <mergeCell ref="B31:B32"/>
    <mergeCell ref="C31:C32"/>
    <mergeCell ref="D31:D32"/>
    <mergeCell ref="A33:A35"/>
    <mergeCell ref="B33:B35"/>
    <mergeCell ref="C33:C35"/>
    <mergeCell ref="D33:D35"/>
    <mergeCell ref="A36:A37"/>
    <mergeCell ref="B36:B37"/>
    <mergeCell ref="C36:C37"/>
    <mergeCell ref="D36:D37"/>
    <mergeCell ref="E40:E41"/>
    <mergeCell ref="A43:C44"/>
    <mergeCell ref="A38:A39"/>
    <mergeCell ref="B38:B39"/>
    <mergeCell ref="C38:C39"/>
    <mergeCell ref="D38:D39"/>
    <mergeCell ref="A40:C41"/>
    <mergeCell ref="D40:D41"/>
  </mergeCells>
  <dataValidations count="13">
    <dataValidation type="list" allowBlank="1" showInputMessage="1" showErrorMessage="1" sqref="C38:C39">
      <formula1>$G$38:$G$39</formula1>
    </dataValidation>
    <dataValidation type="list" allowBlank="1" showInputMessage="1" showErrorMessage="1" sqref="C36:C37">
      <formula1>$G$36:$G$37</formula1>
    </dataValidation>
    <dataValidation type="list" allowBlank="1" showInputMessage="1" showErrorMessage="1" sqref="C33:C35">
      <formula1>$G$33:$G$35</formula1>
    </dataValidation>
    <dataValidation type="list" allowBlank="1" showInputMessage="1" showErrorMessage="1" sqref="C31:C32">
      <formula1>$G$31:$G$32</formula1>
    </dataValidation>
    <dataValidation type="list" allowBlank="1" showInputMessage="1" showErrorMessage="1" sqref="C28:C30">
      <formula1>$G$28:$G$30</formula1>
    </dataValidation>
    <dataValidation type="list" allowBlank="1" showInputMessage="1" showErrorMessage="1" sqref="C26:C27">
      <formula1>$G$26:$G$27</formula1>
    </dataValidation>
    <dataValidation type="list" allowBlank="1" showInputMessage="1" showErrorMessage="1" sqref="C23:C25">
      <formula1>$G$23:$G$25</formula1>
    </dataValidation>
    <dataValidation type="list" allowBlank="1" showInputMessage="1" showErrorMessage="1" sqref="C21:C22">
      <formula1>$G$21:$G$22</formula1>
    </dataValidation>
    <dataValidation type="list" allowBlank="1" showInputMessage="1" showErrorMessage="1" sqref="C18:C20">
      <formula1>$G$18:$G$20</formula1>
    </dataValidation>
    <dataValidation type="list" allowBlank="1" showInputMessage="1" showErrorMessage="1" sqref="C15:C17">
      <formula1>$G$15:$G$17</formula1>
    </dataValidation>
    <dataValidation type="list" allowBlank="1" showInputMessage="1" showErrorMessage="1" sqref="C12:C14">
      <formula1>$G$12:$G$14</formula1>
    </dataValidation>
    <dataValidation type="list" allowBlank="1" showInputMessage="1" showErrorMessage="1" sqref="C10:C11">
      <formula1>$G$10:$G$11</formula1>
    </dataValidation>
    <dataValidation type="list" allowBlank="1" showInputMessage="1" showErrorMessage="1" sqref="C7:C9">
      <formula1>$G$7:$G$9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92D050"/>
  </sheetPr>
  <dimension ref="A1:L56"/>
  <sheetViews>
    <sheetView topLeftCell="A2" workbookViewId="0">
      <selection activeCell="G2" sqref="G1:L1048576"/>
    </sheetView>
  </sheetViews>
  <sheetFormatPr defaultRowHeight="15"/>
  <cols>
    <col min="2" max="2" width="26" customWidth="1"/>
    <col min="3" max="3" width="58.5703125" customWidth="1"/>
    <col min="4" max="4" width="28.5703125" customWidth="1"/>
    <col min="5" max="5" width="0.140625" customWidth="1"/>
    <col min="6" max="6" width="0.42578125" customWidth="1"/>
    <col min="7" max="11" width="9.140625" hidden="1" customWidth="1"/>
    <col min="12" max="12" width="12" hidden="1" customWidth="1"/>
    <col min="13" max="13" width="9.140625" customWidth="1"/>
  </cols>
  <sheetData>
    <row r="1" spans="1:12" ht="20.25">
      <c r="A1" s="56" t="s">
        <v>0</v>
      </c>
      <c r="B1" s="56"/>
      <c r="C1" s="56"/>
      <c r="D1" s="56"/>
      <c r="E1" s="56"/>
    </row>
    <row r="2" spans="1:12" ht="18.75">
      <c r="A2" s="57" t="s">
        <v>1</v>
      </c>
      <c r="B2" s="57"/>
      <c r="C2" s="57"/>
      <c r="D2" s="57"/>
      <c r="E2" s="57"/>
    </row>
    <row r="3" spans="1:12" ht="18.75" customHeight="1">
      <c r="A3" s="58" t="s">
        <v>328</v>
      </c>
      <c r="B3" s="57"/>
      <c r="C3" s="57"/>
      <c r="D3" s="57"/>
      <c r="E3" s="57"/>
    </row>
    <row r="4" spans="1:12" ht="16.5" thickBot="1">
      <c r="A4" s="59"/>
      <c r="B4" s="59"/>
      <c r="C4" s="59"/>
      <c r="D4" s="59"/>
      <c r="E4" s="59"/>
    </row>
    <row r="5" spans="1:12" ht="15.75" customHeight="1">
      <c r="A5" s="2" t="s">
        <v>3</v>
      </c>
      <c r="B5" s="60" t="s">
        <v>54</v>
      </c>
      <c r="C5" s="60" t="s">
        <v>55</v>
      </c>
      <c r="D5" s="60" t="s">
        <v>42</v>
      </c>
    </row>
    <row r="6" spans="1:12" ht="16.5" thickBot="1">
      <c r="A6" s="4" t="s">
        <v>4</v>
      </c>
      <c r="B6" s="61"/>
      <c r="C6" s="61"/>
      <c r="D6" s="61"/>
    </row>
    <row r="7" spans="1:12" ht="15" customHeight="1">
      <c r="A7" s="39" t="s">
        <v>5</v>
      </c>
      <c r="B7" s="44" t="s">
        <v>6</v>
      </c>
      <c r="C7" s="44" t="s">
        <v>345</v>
      </c>
      <c r="D7" s="44">
        <f>IF(IFERROR(SEARCH("подразделения ≥ 4,5", C7), 0) &gt; 0, 5, IF(IFERROR(SEARCH("подразделения ≥ 4,0", C7), 0) &gt; 0, 3, IF(IFERROR(SEARCH("&lt;", C7), 0) &gt; 0, 0,)))</f>
        <v>0</v>
      </c>
      <c r="F7">
        <v>5</v>
      </c>
      <c r="G7" s="16" t="s">
        <v>344</v>
      </c>
    </row>
    <row r="8" spans="1:12" ht="15" customHeight="1">
      <c r="A8" s="51"/>
      <c r="B8" s="54"/>
      <c r="C8" s="52"/>
      <c r="D8" s="52"/>
      <c r="F8">
        <v>3</v>
      </c>
      <c r="G8" s="17" t="s">
        <v>343</v>
      </c>
    </row>
    <row r="9" spans="1:12" ht="18.75" customHeight="1" thickBot="1">
      <c r="A9" s="40"/>
      <c r="B9" s="55"/>
      <c r="C9" s="45"/>
      <c r="D9" s="45"/>
      <c r="F9">
        <v>0</v>
      </c>
      <c r="G9" s="18" t="s">
        <v>345</v>
      </c>
    </row>
    <row r="10" spans="1:12" ht="15" customHeight="1">
      <c r="A10" s="39" t="s">
        <v>7</v>
      </c>
      <c r="B10" s="44" t="s">
        <v>8</v>
      </c>
      <c r="C10" s="44" t="s">
        <v>259</v>
      </c>
      <c r="D10" s="44">
        <f>IF(C10="Академические задолжности отсутствуют",10,0)</f>
        <v>10</v>
      </c>
      <c r="F10">
        <v>10</v>
      </c>
    </row>
    <row r="11" spans="1:12" ht="15.75" customHeight="1" thickBot="1">
      <c r="A11" s="40"/>
      <c r="B11" s="45"/>
      <c r="C11" s="45"/>
      <c r="D11" s="45"/>
      <c r="F11">
        <v>0</v>
      </c>
    </row>
    <row r="12" spans="1:12" ht="15" customHeight="1">
      <c r="A12" s="39" t="s">
        <v>9</v>
      </c>
      <c r="B12" s="44" t="s">
        <v>10</v>
      </c>
      <c r="C12" s="44" t="s">
        <v>260</v>
      </c>
      <c r="D12" s="44">
        <f>IF(C12="В подразделении и у КУГ отсутствуют текущие задолжности",5,IF(C12="Имеются менее 20% текущих задолжностей в подразделении или у КУГ",3,IF(C12="Имеются более 20% текущих задолжностей в подразделении или у КУГ",0,)))</f>
        <v>0</v>
      </c>
      <c r="F12">
        <v>5</v>
      </c>
    </row>
    <row r="13" spans="1:12" ht="15" customHeight="1">
      <c r="A13" s="51"/>
      <c r="B13" s="52"/>
      <c r="C13" s="52"/>
      <c r="D13" s="52"/>
      <c r="F13">
        <v>3</v>
      </c>
    </row>
    <row r="14" spans="1:12" ht="15.75" customHeight="1" thickBot="1">
      <c r="A14" s="40"/>
      <c r="B14" s="45"/>
      <c r="C14" s="45"/>
      <c r="D14" s="45"/>
      <c r="F14">
        <v>0</v>
      </c>
    </row>
    <row r="15" spans="1:12" ht="15" customHeight="1">
      <c r="A15" s="39" t="s">
        <v>11</v>
      </c>
      <c r="B15" s="44" t="s">
        <v>39</v>
      </c>
      <c r="C15" s="64" t="s">
        <v>77</v>
      </c>
      <c r="D15" s="44">
        <f>IF(C15="Подразделение прибыло на занятие своевременно; дежурный по аудитории назначен; ЖУУЗ и классная доска оформлены; литература, конспекты, ПЭВМ (по необходимости) получены; внутренний порядок в аудитории поддерживается",5,IF(C15="Подразделение прибыло на занятие своевременно; дежурный по аудитории назначен; литература, конспекты, ПЭВМ (по необходимости) получены; ЖУУЗ или классная доска оформлены не своевременно; или имеются отклонения по  внутреннему порядку в аудитории",3,IF(C15="одразделение опоздало на занятие; или ЖУУЗ и классная доска не оформлены; литература, конспекты, ПЭВМ (по необходимости) не получены; или внутренний порядок в аудитории не поддерживается ",0,)))</f>
        <v>3</v>
      </c>
      <c r="F15">
        <v>5</v>
      </c>
      <c r="L15" s="13" t="s">
        <v>40</v>
      </c>
    </row>
    <row r="16" spans="1:12" ht="15" customHeight="1">
      <c r="A16" s="51"/>
      <c r="B16" s="52"/>
      <c r="C16" s="62"/>
      <c r="D16" s="52"/>
      <c r="F16">
        <v>3</v>
      </c>
      <c r="L16" s="13" t="s">
        <v>77</v>
      </c>
    </row>
    <row r="17" spans="1:12" ht="52.5" customHeight="1" thickBot="1">
      <c r="A17" s="40"/>
      <c r="B17" s="45"/>
      <c r="C17" s="63"/>
      <c r="D17" s="45"/>
      <c r="F17">
        <v>0</v>
      </c>
      <c r="L17" t="s">
        <v>78</v>
      </c>
    </row>
    <row r="18" spans="1:12" ht="15" customHeight="1" thickBot="1">
      <c r="A18" s="39" t="s">
        <v>13</v>
      </c>
      <c r="B18" s="44" t="s">
        <v>41</v>
      </c>
      <c r="C18" s="64" t="s">
        <v>80</v>
      </c>
      <c r="D18" s="44">
        <f>IF(IFERROR(SEARCH("30%", C18), 0) &gt; 0, 5, IF(IFERROR(SEARCH("10%", C18), 0) &gt; 0, 3, IF(IFERROR(SEARCH("не получены", C18), 0) &gt; 0, 0,)))</f>
        <v>3</v>
      </c>
      <c r="F18">
        <v>10</v>
      </c>
      <c r="L18" s="14" t="s">
        <v>79</v>
      </c>
    </row>
    <row r="19" spans="1:12" ht="15" customHeight="1">
      <c r="A19" s="51"/>
      <c r="B19" s="52"/>
      <c r="C19" s="62"/>
      <c r="D19" s="52"/>
      <c r="F19">
        <v>2</v>
      </c>
      <c r="L19" s="13" t="s">
        <v>80</v>
      </c>
    </row>
    <row r="20" spans="1:12" ht="105" customHeight="1" thickBot="1">
      <c r="A20" s="40"/>
      <c r="B20" s="45"/>
      <c r="C20" s="63"/>
      <c r="D20" s="45"/>
      <c r="F20">
        <v>0</v>
      </c>
      <c r="L20" s="13" t="s">
        <v>81</v>
      </c>
    </row>
    <row r="21" spans="1:12" ht="15" customHeight="1">
      <c r="A21" s="39" t="s">
        <v>15</v>
      </c>
      <c r="B21" s="44" t="s">
        <v>12</v>
      </c>
      <c r="C21" s="41" t="s">
        <v>73</v>
      </c>
      <c r="D21" s="44">
        <f>IF(C21="Замечания в подразделении и у КУГ отсутствуют",5,IF(C21="В подразделении 2 замечания у КУГ отсутствуют",3,IF(C21="В подразделении 3 и более замечаний или замечания у КУГ",0,)))</f>
        <v>5</v>
      </c>
      <c r="F21">
        <v>5</v>
      </c>
    </row>
    <row r="22" spans="1:12" ht="15.75" customHeight="1">
      <c r="A22" s="51"/>
      <c r="B22" s="52"/>
      <c r="C22" s="53"/>
      <c r="D22" s="52"/>
      <c r="F22">
        <v>0</v>
      </c>
    </row>
    <row r="23" spans="1:12" ht="82.5" customHeight="1" thickBot="1">
      <c r="A23" s="40"/>
      <c r="B23" s="45"/>
      <c r="C23" s="43"/>
      <c r="D23" s="45"/>
      <c r="F23">
        <v>10</v>
      </c>
    </row>
    <row r="24" spans="1:12" ht="15" customHeight="1">
      <c r="A24" s="39" t="s">
        <v>17</v>
      </c>
      <c r="B24" s="44" t="s">
        <v>14</v>
      </c>
      <c r="C24" s="41" t="s">
        <v>262</v>
      </c>
      <c r="D24" s="44">
        <f>IF(C24="ПРО, ПРЕ, ГДП в подразделении и КУГ отсутствуют",10,IF(C24="ПРО, ПРЕ отсутствуют, имеются не снятые взыскания за ГДП в подразделении, у КУГ отсутствуют",2,IF(C24="Совершено ПРО, ПРЕ, ГДП в подразделении или КУГ или допущено сокрытие",0,)))</f>
        <v>10</v>
      </c>
      <c r="F24">
        <v>5</v>
      </c>
    </row>
    <row r="25" spans="1:12" ht="15.75" customHeight="1">
      <c r="A25" s="51"/>
      <c r="B25" s="52"/>
      <c r="C25" s="53"/>
      <c r="D25" s="52"/>
      <c r="F25">
        <v>0</v>
      </c>
    </row>
    <row r="26" spans="1:12" ht="52.5" customHeight="1" thickBot="1">
      <c r="A26" s="40"/>
      <c r="B26" s="45"/>
      <c r="C26" s="43"/>
      <c r="D26" s="45"/>
      <c r="F26">
        <v>3</v>
      </c>
    </row>
    <row r="27" spans="1:12" ht="15.75" customHeight="1">
      <c r="A27" s="39" t="s">
        <v>20</v>
      </c>
      <c r="B27" s="44" t="s">
        <v>16</v>
      </c>
      <c r="C27" s="41" t="s">
        <v>57</v>
      </c>
      <c r="D27" s="44">
        <f>IF(C27="Дисциплинарная практика к подчиненному личному составу ведется",5,0)</f>
        <v>5</v>
      </c>
      <c r="F27">
        <v>0</v>
      </c>
    </row>
    <row r="28" spans="1:12" ht="15" customHeight="1" thickBot="1">
      <c r="A28" s="40"/>
      <c r="B28" s="45"/>
      <c r="C28" s="43"/>
      <c r="D28" s="45"/>
      <c r="F28">
        <v>5</v>
      </c>
    </row>
    <row r="29" spans="1:12" ht="15" customHeight="1">
      <c r="A29" s="39" t="s">
        <v>23</v>
      </c>
      <c r="B29" s="44" t="s">
        <v>18</v>
      </c>
      <c r="C29" s="41" t="s">
        <v>60</v>
      </c>
      <c r="D29" s="44">
        <f>IF(C29="Обстановкой владеет, доклады представляет, книжка сержантов актуальна",10,IF(C29="Обстановкой владеет, доклады представляет, книжка сержантов не актуальна",5,IF(C29="Обстановкой не владеет, доклады не представляет, книжка сержантов не актуальна",0,)))</f>
        <v>10</v>
      </c>
      <c r="F29">
        <v>3</v>
      </c>
    </row>
    <row r="30" spans="1:12" ht="15.75" customHeight="1">
      <c r="A30" s="51"/>
      <c r="B30" s="52"/>
      <c r="C30" s="53"/>
      <c r="D30" s="52"/>
      <c r="F30">
        <v>0</v>
      </c>
    </row>
    <row r="31" spans="1:12" ht="105" customHeight="1" thickBot="1">
      <c r="A31" s="40"/>
      <c r="B31" s="45"/>
      <c r="C31" s="43"/>
      <c r="D31" s="45"/>
      <c r="F31">
        <v>10</v>
      </c>
    </row>
    <row r="32" spans="1:12" ht="26.25" customHeight="1">
      <c r="A32" s="39" t="s">
        <v>25</v>
      </c>
      <c r="B32" s="44" t="s">
        <v>21</v>
      </c>
      <c r="C32" s="41" t="s">
        <v>75</v>
      </c>
      <c r="D32" s="44">
        <f>IF(C32="Подведение итогов актуально, поставлены конкретные задачи и проводится в установленное время",3,0)</f>
        <v>3</v>
      </c>
      <c r="F32">
        <v>0</v>
      </c>
    </row>
    <row r="33" spans="1:6" ht="30" customHeight="1" thickBot="1">
      <c r="A33" s="40"/>
      <c r="B33" s="45"/>
      <c r="C33" s="43"/>
      <c r="D33" s="45"/>
      <c r="F33">
        <v>10</v>
      </c>
    </row>
    <row r="34" spans="1:6" ht="15" customHeight="1">
      <c r="A34" s="51" t="s">
        <v>27</v>
      </c>
      <c r="B34" s="52" t="s">
        <v>43</v>
      </c>
      <c r="C34" s="41" t="s">
        <v>263</v>
      </c>
      <c r="D34" s="62">
        <f>IF(C34="Увольнения распределены равномерно",2,0)</f>
        <v>2</v>
      </c>
      <c r="F34">
        <v>5</v>
      </c>
    </row>
    <row r="35" spans="1:6" ht="15.75" customHeight="1" thickBot="1">
      <c r="A35" s="40"/>
      <c r="B35" s="45"/>
      <c r="C35" s="43"/>
      <c r="D35" s="63"/>
      <c r="F35">
        <v>0</v>
      </c>
    </row>
    <row r="36" spans="1:6" ht="15" customHeight="1">
      <c r="A36" s="39" t="s">
        <v>29</v>
      </c>
      <c r="B36" s="44" t="s">
        <v>44</v>
      </c>
      <c r="C36" s="44" t="s">
        <v>61</v>
      </c>
      <c r="D36" s="64">
        <f>IF(C36="Наряды и уборщики распределены равномерно",2,IF(C36="Наряды распределены равномерно, уборщики не равномерно",1,IF(C36="Наряды и уборщики распределены не равномерно",0,)))</f>
        <v>2</v>
      </c>
      <c r="F36">
        <v>5</v>
      </c>
    </row>
    <row r="37" spans="1:6" ht="15.75" customHeight="1">
      <c r="A37" s="51"/>
      <c r="B37" s="52"/>
      <c r="C37" s="52"/>
      <c r="D37" s="62"/>
      <c r="F37">
        <v>0</v>
      </c>
    </row>
    <row r="38" spans="1:6" ht="38.25" customHeight="1" thickBot="1">
      <c r="A38" s="40"/>
      <c r="B38" s="45"/>
      <c r="C38" s="45"/>
      <c r="D38" s="63"/>
      <c r="F38">
        <v>2</v>
      </c>
    </row>
    <row r="39" spans="1:6" ht="15.75" customHeight="1">
      <c r="A39" s="39" t="s">
        <v>32</v>
      </c>
      <c r="B39" s="44" t="s">
        <v>24</v>
      </c>
      <c r="C39" s="41" t="s">
        <v>264</v>
      </c>
      <c r="D39" s="44">
        <f>IF(C39="Замечания у подчиненного л/с отсутствуют, КУГ оценен не ниже «хорошо»",5,IF(C39="Выявлено не более 2 замечаний у подчиненного л/с, КУГ оценен не ниже «хорошо»",3,IF(C39="Л/с отстранен или выявлено более 2 замечаний, КУГ оценен ниже «хорошо»",0,)))</f>
        <v>5</v>
      </c>
      <c r="F39">
        <v>1</v>
      </c>
    </row>
    <row r="40" spans="1:6" ht="15" customHeight="1">
      <c r="A40" s="51"/>
      <c r="B40" s="52"/>
      <c r="C40" s="53"/>
      <c r="D40" s="52"/>
    </row>
    <row r="41" spans="1:6" ht="40.5" customHeight="1" thickBot="1">
      <c r="A41" s="40"/>
      <c r="B41" s="45"/>
      <c r="C41" s="43"/>
      <c r="D41" s="45"/>
    </row>
    <row r="42" spans="1:6">
      <c r="A42" s="39" t="s">
        <v>45</v>
      </c>
      <c r="B42" s="44" t="s">
        <v>26</v>
      </c>
      <c r="C42" s="41" t="s">
        <v>65</v>
      </c>
      <c r="D42" s="44">
        <f>IF(C42="Нарушений ТБ, приведших к травматизму л/с нет",10,0)</f>
        <v>10</v>
      </c>
    </row>
    <row r="43" spans="1:6" ht="44.25" customHeight="1" thickBot="1">
      <c r="A43" s="40"/>
      <c r="B43" s="45"/>
      <c r="C43" s="43"/>
      <c r="D43" s="45"/>
    </row>
    <row r="44" spans="1:6">
      <c r="A44" s="39" t="s">
        <v>46</v>
      </c>
      <c r="B44" s="44" t="s">
        <v>28</v>
      </c>
      <c r="C44" s="41" t="s">
        <v>52</v>
      </c>
      <c r="D44" s="44">
        <f>IF(C44="Элементы распорядка дня соблюдаются",10,IF(C44="Не более пяти нарушений распорядка дня, срывов мероприятий не допущено",5,IF(C44="Более пяти нарушений элементов распорядка дня или мероприятие сорвано",0,)))</f>
        <v>10</v>
      </c>
    </row>
    <row r="45" spans="1:6">
      <c r="A45" s="51"/>
      <c r="B45" s="52"/>
      <c r="C45" s="53"/>
      <c r="D45" s="52"/>
    </row>
    <row r="46" spans="1:6" ht="15.75" thickBot="1">
      <c r="A46" s="40"/>
      <c r="B46" s="45"/>
      <c r="C46" s="43"/>
      <c r="D46" s="45"/>
    </row>
    <row r="47" spans="1:6">
      <c r="A47" s="39" t="s">
        <v>47</v>
      </c>
      <c r="B47" s="44" t="s">
        <v>30</v>
      </c>
      <c r="C47" s="41" t="s">
        <v>31</v>
      </c>
      <c r="D47" s="44">
        <f>IF(C47="Материальные средства подразделения в наличии, исправны, обслужены, хранятся правильно",5,0)</f>
        <v>5</v>
      </c>
    </row>
    <row r="48" spans="1:6" ht="45" customHeight="1" thickBot="1">
      <c r="A48" s="40"/>
      <c r="B48" s="45"/>
      <c r="C48" s="43"/>
      <c r="D48" s="45"/>
    </row>
    <row r="49" spans="1:5">
      <c r="A49" s="39" t="s">
        <v>48</v>
      </c>
      <c r="B49" s="44" t="s">
        <v>33</v>
      </c>
      <c r="C49" s="41" t="s">
        <v>49</v>
      </c>
      <c r="D49" s="44">
        <f>IF(C49="Оценка по физической подготовке (культуре) - 5",2,1)</f>
        <v>2</v>
      </c>
    </row>
    <row r="50" spans="1:5" ht="97.5" customHeight="1" thickBot="1">
      <c r="A50" s="40"/>
      <c r="B50" s="45"/>
      <c r="C50" s="43"/>
      <c r="D50" s="45"/>
    </row>
    <row r="51" spans="1:5" ht="15.75">
      <c r="A51" s="46" t="s">
        <v>34</v>
      </c>
      <c r="B51" s="47"/>
      <c r="C51" s="47"/>
      <c r="D51" s="50">
        <f>SUM(D7:D50)</f>
        <v>85</v>
      </c>
      <c r="E51" s="8"/>
    </row>
    <row r="52" spans="1:5" ht="16.5" thickBot="1">
      <c r="A52" s="48"/>
      <c r="B52" s="49"/>
      <c r="C52" s="49"/>
      <c r="D52" s="42"/>
      <c r="E52" s="8"/>
    </row>
    <row r="54" spans="1:5" ht="20.25">
      <c r="A54" s="37" t="s">
        <v>35</v>
      </c>
      <c r="B54" s="37"/>
      <c r="C54" s="37"/>
      <c r="D54" s="37"/>
      <c r="E54" s="37"/>
    </row>
    <row r="55" spans="1:5" ht="20.25">
      <c r="A55" s="38" t="s">
        <v>36</v>
      </c>
      <c r="B55" s="38"/>
      <c r="C55" s="38"/>
      <c r="D55" s="38"/>
      <c r="E55" s="38"/>
    </row>
    <row r="56" spans="1:5" ht="21">
      <c r="A56" s="9"/>
      <c r="B56" s="9"/>
      <c r="C56" s="5" t="s">
        <v>319</v>
      </c>
      <c r="D56" s="5"/>
      <c r="E56" s="9"/>
    </row>
  </sheetData>
  <mergeCells count="79">
    <mergeCell ref="A1:E1"/>
    <mergeCell ref="A2:E2"/>
    <mergeCell ref="A3:E3"/>
    <mergeCell ref="A4:E4"/>
    <mergeCell ref="B5:B6"/>
    <mergeCell ref="C5:C6"/>
    <mergeCell ref="D5:D6"/>
    <mergeCell ref="A7:A9"/>
    <mergeCell ref="B7:B9"/>
    <mergeCell ref="C7:C9"/>
    <mergeCell ref="D7:D9"/>
    <mergeCell ref="A10:A11"/>
    <mergeCell ref="B10:B11"/>
    <mergeCell ref="C10:C11"/>
    <mergeCell ref="D10:D11"/>
    <mergeCell ref="A12:A14"/>
    <mergeCell ref="B12:B14"/>
    <mergeCell ref="C12:C14"/>
    <mergeCell ref="D12:D14"/>
    <mergeCell ref="A15:A17"/>
    <mergeCell ref="B15:B17"/>
    <mergeCell ref="C15:C17"/>
    <mergeCell ref="D15:D17"/>
    <mergeCell ref="A18:A20"/>
    <mergeCell ref="B18:B20"/>
    <mergeCell ref="C18:C20"/>
    <mergeCell ref="D18:D20"/>
    <mergeCell ref="A21:A23"/>
    <mergeCell ref="B21:B23"/>
    <mergeCell ref="C21:C23"/>
    <mergeCell ref="D21:D23"/>
    <mergeCell ref="A24:A26"/>
    <mergeCell ref="B24:B26"/>
    <mergeCell ref="C24:C26"/>
    <mergeCell ref="D24:D26"/>
    <mergeCell ref="A27:A28"/>
    <mergeCell ref="B27:B28"/>
    <mergeCell ref="C27:C28"/>
    <mergeCell ref="D27:D28"/>
    <mergeCell ref="A29:A31"/>
    <mergeCell ref="B29:B31"/>
    <mergeCell ref="C29:C31"/>
    <mergeCell ref="D29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8"/>
    <mergeCell ref="B36:B38"/>
    <mergeCell ref="C36:C38"/>
    <mergeCell ref="D36:D38"/>
    <mergeCell ref="A39:A41"/>
    <mergeCell ref="B39:B41"/>
    <mergeCell ref="C39:C41"/>
    <mergeCell ref="D39:D41"/>
    <mergeCell ref="A42:A43"/>
    <mergeCell ref="B42:B43"/>
    <mergeCell ref="C42:C43"/>
    <mergeCell ref="D42:D43"/>
    <mergeCell ref="A44:A46"/>
    <mergeCell ref="B44:B46"/>
    <mergeCell ref="C44:C46"/>
    <mergeCell ref="D44:D46"/>
    <mergeCell ref="A47:A48"/>
    <mergeCell ref="B47:B48"/>
    <mergeCell ref="C47:C48"/>
    <mergeCell ref="D47:D48"/>
    <mergeCell ref="A54:E54"/>
    <mergeCell ref="A55:E55"/>
    <mergeCell ref="A49:A50"/>
    <mergeCell ref="B49:B50"/>
    <mergeCell ref="C49:C50"/>
    <mergeCell ref="D49:D50"/>
    <mergeCell ref="A51:C52"/>
    <mergeCell ref="D51:D52"/>
  </mergeCells>
  <dataValidations count="17">
    <dataValidation type="list" allowBlank="1" showInputMessage="1" showErrorMessage="1" sqref="C18:C20">
      <formula1>$L$18:$L$20</formula1>
    </dataValidation>
    <dataValidation type="list" allowBlank="1" showInputMessage="1" showErrorMessage="1" sqref="C49:C50">
      <formula1>"Оценка по физической подготовке (культуре) - 5,Оценка по физической подготовке (культуре) - 4"</formula1>
    </dataValidation>
    <dataValidation type="list" allowBlank="1" showInputMessage="1" showErrorMessage="1" sqref="C47:C48">
      <formula1>"Материальные средства подразделения в наличии, исправны, обслужены, хранятся правильно,Не выполнены предъявляемые критерии "</formula1>
    </dataValidation>
    <dataValidation type="list" allowBlank="1" showInputMessage="1" showErrorMessage="1" sqref="C44:C46">
      <formula1>"Элементы распорядка дня соблюдаются,Не более пяти нарушений распорядка дня, срывов мероприятий не допущено,Более пяти нарушений элементов распорядка дня или мероприятие сорвано"</formula1>
    </dataValidation>
    <dataValidation type="list" allowBlank="1" showInputMessage="1" showErrorMessage="1" sqref="C42:C43">
      <formula1>"Нарушений ТБ, приведших к травматизму л/с нет,Есть нарушения ТБ, приведших к травматизму л/с"</formula1>
    </dataValidation>
    <dataValidation type="list" allowBlank="1" showInputMessage="1" showErrorMessage="1" sqref="C39:C41">
      <formula1>"Замечания у подчиненного л/с отсутствуют, КУГ оценен не ниже «хорошо»,Выявлено не более 2 замечаний у подчиненного л/с, КУГ оценен не ниже «хорошо»,Л/с отстранен или выявлено более 2 замечаний, КУГ оценен ниже «хорошо»,"</formula1>
    </dataValidation>
    <dataValidation type="list" allowBlank="1" showInputMessage="1" showErrorMessage="1" sqref="C36:C38">
      <formula1>"Наряды и уборщики распределены равномерно,Наряды распределены равномерно, уборщики не равномерно,Наряды и уборщики распределены не равномерно"</formula1>
    </dataValidation>
    <dataValidation type="list" allowBlank="1" showInputMessage="1" showErrorMessage="1" sqref="C34:C35">
      <formula1>"Увольнения распределены равномерно,Увольнения распределяются не равномерно"</formula1>
    </dataValidation>
    <dataValidation type="list" allowBlank="1" showInputMessage="1" showErrorMessage="1" sqref="C32:C33">
      <formula1>"Подведение итогов актуально, поставлены конкретные задачи и проводится в установленное время,Подведение итогов не актуально, не поставлены задачи или не проводится"</formula1>
    </dataValidation>
    <dataValidation type="list" allowBlank="1" showInputMessage="1" showErrorMessage="1" sqref="C29:C31">
      <formula1>"Обстановкой владеет, доклады представляет, книжка сержантов актуальна,Обстановкой владеет, доклады представляет, книжка сержантов не актуальна,Обстановкой не владеет, доклады не представляет, книжка сержантов не актуальна"</formula1>
    </dataValidation>
    <dataValidation type="list" allowBlank="1" showInputMessage="1" showErrorMessage="1" sqref="C27:C28">
      <formula1>"Дисциплинарная практика к подчиненному личному составу ведется,Дисциплинарная практика к подчиненному личному составу не реализуется или КУГ имеет дисциплинарные взыскания"</formula1>
    </dataValidation>
    <dataValidation type="list" allowBlank="1" showInputMessage="1" showErrorMessage="1" sqref="C24:C26">
      <formula1>"ПРО, ПРЕ, ГДП в подразделении и КУГ отсутствуют, ПРО, ПРЕ отсутствуют, имеются не снятые взыскания за ГДП в подразделении, у КУГ отсутствуют, Совершено ПРО, ПРЕ, ГДП в подразделении или КУГ или допущено сокрытие"</formula1>
    </dataValidation>
    <dataValidation type="list" allowBlank="1" showInputMessage="1" showErrorMessage="1" sqref="C21:C23">
      <formula1>"Замечания в подразделении и у КУГ отсутствуют,В подразделении 2 замечания у КУГ отсутствуют,В подразделении 3 и более замечаний или замечания у КУГ"</formula1>
    </dataValidation>
    <dataValidation type="list" allowBlank="1" showInputMessage="1" showErrorMessage="1" sqref="C15:C17">
      <formula1>$L$15:$L$17</formula1>
    </dataValidation>
    <dataValidation type="list" allowBlank="1" showInputMessage="1" showErrorMessage="1" sqref="C12:C14">
      <formula1>"В подразделении и у КУГ отсутствуют текущие задолжности,Имеются менее 20% текущих задолжностей в подразделении или у КУГ,Имеются более 20% текущих задолжностей в подразделении или у КУГ"</formula1>
    </dataValidation>
    <dataValidation type="list" allowBlank="1" showInputMessage="1" showErrorMessage="1" sqref="C10:C11">
      <formula1>"Академические задолжности отсутствуют, Имеются академические задолжности в учебной группе или у КУГ"</formula1>
    </dataValidation>
    <dataValidation type="list" allowBlank="1" showInputMessage="1" showErrorMessage="1" sqref="C7:C9">
      <formula1>$G$7:$G$9</formula1>
    </dataValidation>
  </dataValidation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92D050"/>
  </sheetPr>
  <dimension ref="A1:U46"/>
  <sheetViews>
    <sheetView zoomScale="115" zoomScaleNormal="115" workbookViewId="0">
      <selection activeCell="A3" sqref="A3:E3"/>
    </sheetView>
  </sheetViews>
  <sheetFormatPr defaultRowHeight="15"/>
  <cols>
    <col min="2" max="2" width="26" customWidth="1"/>
    <col min="3" max="3" width="58.5703125" customWidth="1"/>
    <col min="4" max="4" width="28.42578125" customWidth="1"/>
    <col min="5" max="5" width="24.140625" hidden="1" customWidth="1"/>
    <col min="6" max="6" width="24" hidden="1" customWidth="1"/>
    <col min="7" max="7" width="1.85546875" hidden="1" customWidth="1"/>
    <col min="8" max="8" width="18.42578125" customWidth="1"/>
  </cols>
  <sheetData>
    <row r="1" spans="1:21" ht="20.25">
      <c r="A1" s="56" t="s">
        <v>0</v>
      </c>
      <c r="B1" s="56"/>
      <c r="C1" s="56"/>
      <c r="D1" s="56"/>
      <c r="E1" s="56"/>
    </row>
    <row r="2" spans="1:21" ht="18.75">
      <c r="A2" s="57" t="s">
        <v>1</v>
      </c>
      <c r="B2" s="57"/>
      <c r="C2" s="57"/>
      <c r="D2" s="57"/>
      <c r="E2" s="57"/>
    </row>
    <row r="3" spans="1:21" ht="18.75" customHeight="1">
      <c r="A3" s="58" t="s">
        <v>327</v>
      </c>
      <c r="B3" s="57"/>
      <c r="C3" s="57"/>
      <c r="D3" s="57"/>
      <c r="E3" s="57"/>
    </row>
    <row r="4" spans="1:21" ht="16.5" thickBot="1">
      <c r="A4" s="59"/>
      <c r="B4" s="59"/>
      <c r="C4" s="59"/>
      <c r="D4" s="59"/>
      <c r="E4" s="59"/>
    </row>
    <row r="5" spans="1:21" ht="15.75">
      <c r="A5" s="2" t="s">
        <v>3</v>
      </c>
      <c r="B5" s="60" t="s">
        <v>54</v>
      </c>
      <c r="C5" s="60" t="s">
        <v>55</v>
      </c>
      <c r="D5" s="60" t="s">
        <v>42</v>
      </c>
    </row>
    <row r="6" spans="1:21" ht="16.5" thickBot="1">
      <c r="A6" s="4" t="s">
        <v>4</v>
      </c>
      <c r="B6" s="61"/>
      <c r="C6" s="61"/>
      <c r="D6" s="61"/>
    </row>
    <row r="7" spans="1:21" ht="13.5" customHeight="1">
      <c r="A7" s="39" t="s">
        <v>5</v>
      </c>
      <c r="B7" s="44" t="s">
        <v>6</v>
      </c>
      <c r="C7" s="44" t="s">
        <v>83</v>
      </c>
      <c r="D7" s="44">
        <f>IF(IFERROR(SEARCH("подразделения ≥ 4,5", C7), 0) &gt; 0, 5, IF(IFERROR(SEARCH("подразделения ≥ 4,0", C7), 0) &gt; 0, 3, IF(IFERROR(SEARCH("&lt;", C7), 0) &gt; 0, 0,)))</f>
        <v>3</v>
      </c>
      <c r="F7">
        <v>5</v>
      </c>
      <c r="G7" s="16" t="s">
        <v>82</v>
      </c>
      <c r="N7" s="15"/>
      <c r="U7" s="15"/>
    </row>
    <row r="8" spans="1:21" ht="20.25" customHeight="1">
      <c r="A8" s="51"/>
      <c r="B8" s="54"/>
      <c r="C8" s="52"/>
      <c r="D8" s="52"/>
      <c r="F8">
        <v>3</v>
      </c>
      <c r="G8" s="17" t="s">
        <v>83</v>
      </c>
      <c r="N8" s="13"/>
      <c r="U8" s="13"/>
    </row>
    <row r="9" spans="1:21" ht="18" customHeight="1" thickBot="1">
      <c r="A9" s="40"/>
      <c r="B9" s="55"/>
      <c r="C9" s="45"/>
      <c r="D9" s="45"/>
      <c r="F9">
        <v>0</v>
      </c>
      <c r="G9" s="18" t="s">
        <v>84</v>
      </c>
    </row>
    <row r="10" spans="1:21">
      <c r="A10" s="39" t="s">
        <v>7</v>
      </c>
      <c r="B10" s="44" t="s">
        <v>8</v>
      </c>
      <c r="C10" s="44" t="s">
        <v>85</v>
      </c>
      <c r="D10" s="44">
        <f>IF(IFERROR(SEARCH("отсутствуют", C10), 0) &gt; 0, 10, IF(IFERROR(SEARCH("имеются", C10), 0) &gt; 0, 0, ))</f>
        <v>10</v>
      </c>
      <c r="F10">
        <v>10</v>
      </c>
      <c r="G10" t="s">
        <v>85</v>
      </c>
    </row>
    <row r="11" spans="1:21" ht="24.75" customHeight="1" thickBot="1">
      <c r="A11" s="40"/>
      <c r="B11" s="45"/>
      <c r="C11" s="45"/>
      <c r="D11" s="45"/>
      <c r="F11">
        <v>0</v>
      </c>
      <c r="G11" s="13" t="s">
        <v>86</v>
      </c>
    </row>
    <row r="12" spans="1:21" ht="18" customHeight="1" thickBot="1">
      <c r="A12" s="39" t="s">
        <v>9</v>
      </c>
      <c r="B12" s="44" t="s">
        <v>10</v>
      </c>
      <c r="C12" s="44" t="s">
        <v>87</v>
      </c>
      <c r="D12" s="44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>5</v>
      </c>
      <c r="F12">
        <v>5</v>
      </c>
      <c r="G12" s="14" t="s">
        <v>87</v>
      </c>
    </row>
    <row r="13" spans="1:21" ht="15.75">
      <c r="A13" s="51"/>
      <c r="B13" s="52"/>
      <c r="C13" s="52"/>
      <c r="D13" s="52"/>
      <c r="F13">
        <v>3</v>
      </c>
      <c r="G13" s="13" t="s">
        <v>88</v>
      </c>
    </row>
    <row r="14" spans="1:21" ht="16.5" thickBot="1">
      <c r="A14" s="40"/>
      <c r="B14" s="45"/>
      <c r="C14" s="45"/>
      <c r="D14" s="45"/>
      <c r="F14">
        <v>0</v>
      </c>
      <c r="G14" s="13" t="s">
        <v>89</v>
      </c>
    </row>
    <row r="15" spans="1:21" ht="15.75">
      <c r="A15" s="39" t="s">
        <v>11</v>
      </c>
      <c r="B15" s="44" t="s">
        <v>12</v>
      </c>
      <c r="C15" s="41" t="s">
        <v>91</v>
      </c>
      <c r="D15" s="44">
        <f>IF(IFERROR(SEARCH("Отсутствуют", C15), 0) &gt; 0, 5, IF(IFERROR(SEARCH("Наличие одного", C15), 0) &gt; 0, 3, IF(IFERROR(SEARCH("Наличие двух", C15), 0) &gt; 0, 0,)))</f>
        <v>3</v>
      </c>
      <c r="F15">
        <v>5</v>
      </c>
      <c r="G15" s="19" t="s">
        <v>90</v>
      </c>
    </row>
    <row r="16" spans="1:21" ht="15.75">
      <c r="A16" s="51"/>
      <c r="B16" s="52"/>
      <c r="C16" s="53"/>
      <c r="D16" s="52"/>
      <c r="F16">
        <v>3</v>
      </c>
      <c r="G16" s="13" t="s">
        <v>91</v>
      </c>
    </row>
    <row r="17" spans="1:7" ht="92.25" customHeight="1" thickBot="1">
      <c r="A17" s="40"/>
      <c r="B17" s="45"/>
      <c r="C17" s="43"/>
      <c r="D17" s="45"/>
      <c r="F17">
        <v>0</v>
      </c>
      <c r="G17" s="13" t="s">
        <v>92</v>
      </c>
    </row>
    <row r="18" spans="1:7" ht="15" customHeight="1" thickBot="1">
      <c r="A18" s="39" t="s">
        <v>13</v>
      </c>
      <c r="B18" s="44" t="s">
        <v>14</v>
      </c>
      <c r="C18" s="41" t="s">
        <v>93</v>
      </c>
      <c r="D18" s="44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>10</v>
      </c>
      <c r="F18">
        <v>10</v>
      </c>
      <c r="G18" s="13" t="s">
        <v>93</v>
      </c>
    </row>
    <row r="19" spans="1:7" ht="15" customHeight="1" thickBot="1">
      <c r="A19" s="51"/>
      <c r="B19" s="52"/>
      <c r="C19" s="53"/>
      <c r="D19" s="52"/>
      <c r="F19">
        <v>2</v>
      </c>
      <c r="G19" s="14" t="s">
        <v>94</v>
      </c>
    </row>
    <row r="20" spans="1:7" ht="57" customHeight="1" thickBot="1">
      <c r="A20" s="40"/>
      <c r="B20" s="45"/>
      <c r="C20" s="43"/>
      <c r="D20" s="45"/>
      <c r="F20">
        <v>0</v>
      </c>
      <c r="G20" s="13" t="s">
        <v>95</v>
      </c>
    </row>
    <row r="21" spans="1:7" ht="15.75">
      <c r="A21" s="39" t="s">
        <v>15</v>
      </c>
      <c r="B21" s="44" t="s">
        <v>16</v>
      </c>
      <c r="C21" s="41" t="s">
        <v>96</v>
      </c>
      <c r="D21" s="44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>5</v>
      </c>
      <c r="F21">
        <v>5</v>
      </c>
      <c r="G21" s="13" t="s">
        <v>96</v>
      </c>
    </row>
    <row r="22" spans="1:7" ht="42.75" customHeight="1" thickBot="1">
      <c r="A22" s="40"/>
      <c r="B22" s="45"/>
      <c r="C22" s="43"/>
      <c r="D22" s="45"/>
      <c r="F22">
        <v>0</v>
      </c>
      <c r="G22" s="13" t="s">
        <v>97</v>
      </c>
    </row>
    <row r="23" spans="1:7" ht="15.75">
      <c r="A23" s="39" t="s">
        <v>17</v>
      </c>
      <c r="B23" s="44" t="s">
        <v>18</v>
      </c>
      <c r="C23" s="41" t="s">
        <v>19</v>
      </c>
      <c r="D23" s="44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>10</v>
      </c>
      <c r="F23">
        <v>10</v>
      </c>
      <c r="G23" s="13" t="s">
        <v>19</v>
      </c>
    </row>
    <row r="24" spans="1:7" ht="15.75">
      <c r="A24" s="51"/>
      <c r="B24" s="52"/>
      <c r="C24" s="53"/>
      <c r="D24" s="52"/>
      <c r="F24">
        <v>5</v>
      </c>
      <c r="G24" s="13" t="s">
        <v>98</v>
      </c>
    </row>
    <row r="25" spans="1:7" ht="82.5" customHeight="1" thickBot="1">
      <c r="A25" s="40"/>
      <c r="B25" s="45"/>
      <c r="C25" s="43"/>
      <c r="D25" s="45"/>
      <c r="F25">
        <v>0</v>
      </c>
      <c r="G25" s="13" t="s">
        <v>99</v>
      </c>
    </row>
    <row r="26" spans="1:7" ht="15.75">
      <c r="A26" s="39" t="s">
        <v>20</v>
      </c>
      <c r="B26" s="44" t="s">
        <v>21</v>
      </c>
      <c r="C26" s="41" t="s">
        <v>22</v>
      </c>
      <c r="D26" s="44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>3</v>
      </c>
      <c r="F26">
        <v>3</v>
      </c>
      <c r="G26" s="13" t="s">
        <v>22</v>
      </c>
    </row>
    <row r="27" spans="1:7" ht="41.25" customHeight="1" thickBot="1">
      <c r="A27" s="40"/>
      <c r="B27" s="45"/>
      <c r="C27" s="43"/>
      <c r="D27" s="45"/>
      <c r="F27">
        <v>0</v>
      </c>
      <c r="G27" s="13" t="s">
        <v>100</v>
      </c>
    </row>
    <row r="28" spans="1:7" ht="15.75">
      <c r="A28" s="39" t="s">
        <v>23</v>
      </c>
      <c r="B28" s="44" t="s">
        <v>24</v>
      </c>
      <c r="C28" s="41" t="s">
        <v>101</v>
      </c>
      <c r="D28" s="44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>5</v>
      </c>
      <c r="F28">
        <v>5</v>
      </c>
      <c r="G28" s="13" t="s">
        <v>101</v>
      </c>
    </row>
    <row r="29" spans="1:7" ht="15.75">
      <c r="A29" s="51"/>
      <c r="B29" s="52"/>
      <c r="C29" s="53"/>
      <c r="D29" s="52"/>
      <c r="F29">
        <v>3</v>
      </c>
      <c r="G29" s="13" t="s">
        <v>102</v>
      </c>
    </row>
    <row r="30" spans="1:7" ht="61.5" customHeight="1" thickBot="1">
      <c r="A30" s="40"/>
      <c r="B30" s="45"/>
      <c r="C30" s="43"/>
      <c r="D30" s="45"/>
      <c r="F30">
        <v>0</v>
      </c>
      <c r="G30" s="13" t="s">
        <v>103</v>
      </c>
    </row>
    <row r="31" spans="1:7" ht="15.75">
      <c r="A31" s="39" t="s">
        <v>25</v>
      </c>
      <c r="B31" s="44" t="s">
        <v>26</v>
      </c>
      <c r="C31" s="41" t="s">
        <v>104</v>
      </c>
      <c r="D31" s="44">
        <f>IF(IFERROR(SEARCH("Отсутствуют нарушения ТБ", C31), 0) &gt; 0, 10, IF(IFERROR(SEARCH("Имелись нарушения ТБ", C31), 0) &gt; 0, 0, ))</f>
        <v>10</v>
      </c>
      <c r="F31">
        <v>10</v>
      </c>
      <c r="G31" s="13" t="s">
        <v>104</v>
      </c>
    </row>
    <row r="32" spans="1:7" ht="33.75" customHeight="1" thickBot="1">
      <c r="A32" s="40"/>
      <c r="B32" s="45"/>
      <c r="C32" s="43"/>
      <c r="D32" s="45"/>
      <c r="F32">
        <v>0</v>
      </c>
      <c r="G32" s="13" t="s">
        <v>105</v>
      </c>
    </row>
    <row r="33" spans="1:7" ht="15.75">
      <c r="A33" s="39" t="s">
        <v>27</v>
      </c>
      <c r="B33" s="44" t="s">
        <v>28</v>
      </c>
      <c r="C33" s="41" t="s">
        <v>52</v>
      </c>
      <c r="D33" s="44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>10</v>
      </c>
      <c r="F33">
        <v>10</v>
      </c>
      <c r="G33" s="13" t="s">
        <v>52</v>
      </c>
    </row>
    <row r="34" spans="1:7" ht="15.75">
      <c r="A34" s="51"/>
      <c r="B34" s="52"/>
      <c r="C34" s="53"/>
      <c r="D34" s="52"/>
      <c r="F34">
        <v>5</v>
      </c>
      <c r="G34" s="13" t="s">
        <v>106</v>
      </c>
    </row>
    <row r="35" spans="1:7" ht="18" customHeight="1" thickBot="1">
      <c r="A35" s="40"/>
      <c r="B35" s="45"/>
      <c r="C35" s="43"/>
      <c r="D35" s="45"/>
      <c r="F35">
        <v>0</v>
      </c>
      <c r="G35" s="13" t="s">
        <v>107</v>
      </c>
    </row>
    <row r="36" spans="1:7" ht="15.75">
      <c r="A36" s="39" t="s">
        <v>29</v>
      </c>
      <c r="B36" s="44" t="s">
        <v>30</v>
      </c>
      <c r="C36" s="41" t="s">
        <v>31</v>
      </c>
      <c r="D36" s="44">
        <f>IF(IFERROR(SEARCH("Материальные средства ", C36), 0) &gt; 0, 5, IF(IFERROR(SEARCH("Не выполнены ", C36), 0) &gt; 0, 0, ))</f>
        <v>5</v>
      </c>
      <c r="F36">
        <v>5</v>
      </c>
      <c r="G36" s="13" t="s">
        <v>31</v>
      </c>
    </row>
    <row r="37" spans="1:7" ht="45" customHeight="1" thickBot="1">
      <c r="A37" s="40"/>
      <c r="B37" s="45"/>
      <c r="C37" s="43"/>
      <c r="D37" s="45"/>
      <c r="F37">
        <v>0</v>
      </c>
      <c r="G37" s="13" t="s">
        <v>110</v>
      </c>
    </row>
    <row r="38" spans="1:7" ht="15.75">
      <c r="A38" s="39" t="s">
        <v>32</v>
      </c>
      <c r="B38" s="44" t="s">
        <v>33</v>
      </c>
      <c r="C38" s="41" t="s">
        <v>108</v>
      </c>
      <c r="D38" s="44">
        <f>IF(IFERROR(SEARCH("5", C38), 0) &gt; 0, 2, IF(IFERROR(SEARCH("4", C38), 0) &gt; 0, 1, ))</f>
        <v>2</v>
      </c>
      <c r="F38">
        <v>2</v>
      </c>
      <c r="G38" s="13" t="s">
        <v>108</v>
      </c>
    </row>
    <row r="39" spans="1:7" ht="103.5" customHeight="1" thickBot="1">
      <c r="A39" s="40"/>
      <c r="B39" s="45"/>
      <c r="C39" s="43"/>
      <c r="D39" s="45"/>
      <c r="F39">
        <v>1</v>
      </c>
      <c r="G39" s="13" t="s">
        <v>109</v>
      </c>
    </row>
    <row r="40" spans="1:7">
      <c r="A40" s="46" t="s">
        <v>34</v>
      </c>
      <c r="B40" s="47"/>
      <c r="C40" s="66"/>
      <c r="D40" s="68">
        <f>SUM(D7:D39)</f>
        <v>81</v>
      </c>
      <c r="E40" s="65"/>
    </row>
    <row r="41" spans="1:7" ht="15.75" thickBot="1">
      <c r="A41" s="48"/>
      <c r="B41" s="49"/>
      <c r="C41" s="67"/>
      <c r="D41" s="69"/>
      <c r="E41" s="65"/>
    </row>
    <row r="43" spans="1:7" ht="20.25">
      <c r="A43" s="37" t="s">
        <v>35</v>
      </c>
      <c r="B43" s="37"/>
      <c r="C43" s="37"/>
      <c r="D43" s="5"/>
      <c r="E43" s="5"/>
    </row>
    <row r="44" spans="1:7" ht="20.25">
      <c r="A44" s="37"/>
      <c r="B44" s="37"/>
      <c r="C44" s="37"/>
      <c r="D44" s="6"/>
      <c r="E44" s="6"/>
    </row>
    <row r="45" spans="1:7" ht="20.25">
      <c r="A45" s="5"/>
      <c r="B45" s="5"/>
      <c r="C45" s="5" t="s">
        <v>36</v>
      </c>
      <c r="D45" s="5"/>
      <c r="E45" s="5"/>
    </row>
    <row r="46" spans="1:7" ht="20.25">
      <c r="A46" s="5"/>
      <c r="B46" s="5"/>
      <c r="C46" s="5" t="s">
        <v>320</v>
      </c>
    </row>
  </sheetData>
  <mergeCells count="63">
    <mergeCell ref="A1:E1"/>
    <mergeCell ref="A2:E2"/>
    <mergeCell ref="A3:E3"/>
    <mergeCell ref="A4:E4"/>
    <mergeCell ref="B5:B6"/>
    <mergeCell ref="C5:C6"/>
    <mergeCell ref="D5:D6"/>
    <mergeCell ref="A7:A9"/>
    <mergeCell ref="B7:B9"/>
    <mergeCell ref="C7:C9"/>
    <mergeCell ref="D7:D9"/>
    <mergeCell ref="A10:A11"/>
    <mergeCell ref="B10:B11"/>
    <mergeCell ref="C10:C11"/>
    <mergeCell ref="D10:D11"/>
    <mergeCell ref="A12:A14"/>
    <mergeCell ref="B12:B14"/>
    <mergeCell ref="C12:C14"/>
    <mergeCell ref="D12:D14"/>
    <mergeCell ref="A15:A17"/>
    <mergeCell ref="B15:B17"/>
    <mergeCell ref="C15:C17"/>
    <mergeCell ref="D15:D17"/>
    <mergeCell ref="A18:A20"/>
    <mergeCell ref="B18:B20"/>
    <mergeCell ref="C18:C20"/>
    <mergeCell ref="D18:D20"/>
    <mergeCell ref="A21:A22"/>
    <mergeCell ref="B21:B22"/>
    <mergeCell ref="C21:C22"/>
    <mergeCell ref="D21:D22"/>
    <mergeCell ref="A23:A25"/>
    <mergeCell ref="B23:B25"/>
    <mergeCell ref="C23:C25"/>
    <mergeCell ref="D23:D25"/>
    <mergeCell ref="A26:A27"/>
    <mergeCell ref="B26:B27"/>
    <mergeCell ref="C26:C27"/>
    <mergeCell ref="D26:D27"/>
    <mergeCell ref="A28:A30"/>
    <mergeCell ref="B28:B30"/>
    <mergeCell ref="C28:C30"/>
    <mergeCell ref="D28:D30"/>
    <mergeCell ref="A31:A32"/>
    <mergeCell ref="B31:B32"/>
    <mergeCell ref="C31:C32"/>
    <mergeCell ref="D31:D32"/>
    <mergeCell ref="A33:A35"/>
    <mergeCell ref="B33:B35"/>
    <mergeCell ref="C33:C35"/>
    <mergeCell ref="D33:D35"/>
    <mergeCell ref="A36:A37"/>
    <mergeCell ref="B36:B37"/>
    <mergeCell ref="C36:C37"/>
    <mergeCell ref="D36:D37"/>
    <mergeCell ref="E40:E41"/>
    <mergeCell ref="A43:C44"/>
    <mergeCell ref="A38:A39"/>
    <mergeCell ref="B38:B39"/>
    <mergeCell ref="C38:C39"/>
    <mergeCell ref="D38:D39"/>
    <mergeCell ref="A40:C41"/>
    <mergeCell ref="D40:D41"/>
  </mergeCells>
  <dataValidations count="13">
    <dataValidation type="list" allowBlank="1" showInputMessage="1" showErrorMessage="1" sqref="C38:C39">
      <formula1>$G$38:$G$39</formula1>
    </dataValidation>
    <dataValidation type="list" allowBlank="1" showInputMessage="1" showErrorMessage="1" sqref="C36:C37">
      <formula1>$G$36:$G$37</formula1>
    </dataValidation>
    <dataValidation type="list" allowBlank="1" showInputMessage="1" showErrorMessage="1" sqref="C33:C35">
      <formula1>$G$33:$G$35</formula1>
    </dataValidation>
    <dataValidation type="list" allowBlank="1" showInputMessage="1" showErrorMessage="1" sqref="C31:C32">
      <formula1>$G$31:$G$32</formula1>
    </dataValidation>
    <dataValidation type="list" allowBlank="1" showInputMessage="1" showErrorMessage="1" sqref="C28:C30">
      <formula1>$G$28:$G$30</formula1>
    </dataValidation>
    <dataValidation type="list" allowBlank="1" showInputMessage="1" showErrorMessage="1" sqref="C26:C27">
      <formula1>$G$26:$G$27</formula1>
    </dataValidation>
    <dataValidation type="list" allowBlank="1" showInputMessage="1" showErrorMessage="1" sqref="C23:C25">
      <formula1>$G$23:$G$25</formula1>
    </dataValidation>
    <dataValidation type="list" allowBlank="1" showInputMessage="1" showErrorMessage="1" sqref="C21:C22">
      <formula1>$G$21:$G$22</formula1>
    </dataValidation>
    <dataValidation type="list" allowBlank="1" showInputMessage="1" showErrorMessage="1" sqref="C18:C20">
      <formula1>$G$18:$G$20</formula1>
    </dataValidation>
    <dataValidation type="list" allowBlank="1" showInputMessage="1" showErrorMessage="1" sqref="C15:C17">
      <formula1>$G$15:$G$17</formula1>
    </dataValidation>
    <dataValidation type="list" allowBlank="1" showInputMessage="1" showErrorMessage="1" sqref="C12:C14">
      <formula1>$G$12:$G$14</formula1>
    </dataValidation>
    <dataValidation type="list" allowBlank="1" showInputMessage="1" showErrorMessage="1" sqref="C10:C11">
      <formula1>$G$10:$G$11</formula1>
    </dataValidation>
    <dataValidation type="list" allowBlank="1" showInputMessage="1" showErrorMessage="1" sqref="C7:C9">
      <formula1>$G$7:$G$9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92D050"/>
  </sheetPr>
  <dimension ref="A1:U46"/>
  <sheetViews>
    <sheetView zoomScale="115" zoomScaleNormal="115" workbookViewId="0">
      <selection activeCell="A3" sqref="A3:E3"/>
    </sheetView>
  </sheetViews>
  <sheetFormatPr defaultRowHeight="15"/>
  <cols>
    <col min="2" max="2" width="26" customWidth="1"/>
    <col min="3" max="3" width="58.5703125" customWidth="1"/>
    <col min="4" max="4" width="28.42578125" customWidth="1"/>
    <col min="5" max="5" width="24.140625" hidden="1" customWidth="1"/>
    <col min="6" max="6" width="24" hidden="1" customWidth="1"/>
    <col min="7" max="7" width="1.85546875" hidden="1" customWidth="1"/>
    <col min="8" max="8" width="18.42578125" customWidth="1"/>
  </cols>
  <sheetData>
    <row r="1" spans="1:21" ht="20.25">
      <c r="A1" s="56" t="s">
        <v>0</v>
      </c>
      <c r="B1" s="56"/>
      <c r="C1" s="56"/>
      <c r="D1" s="56"/>
      <c r="E1" s="56"/>
    </row>
    <row r="2" spans="1:21" ht="18.75">
      <c r="A2" s="57" t="s">
        <v>1</v>
      </c>
      <c r="B2" s="57"/>
      <c r="C2" s="57"/>
      <c r="D2" s="57"/>
      <c r="E2" s="57"/>
    </row>
    <row r="3" spans="1:21" ht="18.75" customHeight="1">
      <c r="A3" s="58" t="s">
        <v>326</v>
      </c>
      <c r="B3" s="57"/>
      <c r="C3" s="57"/>
      <c r="D3" s="57"/>
      <c r="E3" s="57"/>
    </row>
    <row r="4" spans="1:21" ht="16.5" thickBot="1">
      <c r="A4" s="59"/>
      <c r="B4" s="59"/>
      <c r="C4" s="59"/>
      <c r="D4" s="59"/>
      <c r="E4" s="59"/>
    </row>
    <row r="5" spans="1:21" ht="15.75">
      <c r="A5" s="2" t="s">
        <v>3</v>
      </c>
      <c r="B5" s="60" t="s">
        <v>54</v>
      </c>
      <c r="C5" s="60" t="s">
        <v>55</v>
      </c>
      <c r="D5" s="60" t="s">
        <v>42</v>
      </c>
    </row>
    <row r="6" spans="1:21" ht="16.5" thickBot="1">
      <c r="A6" s="4" t="s">
        <v>4</v>
      </c>
      <c r="B6" s="61"/>
      <c r="C6" s="61"/>
      <c r="D6" s="61"/>
    </row>
    <row r="7" spans="1:21" ht="13.5" customHeight="1">
      <c r="A7" s="39" t="s">
        <v>5</v>
      </c>
      <c r="B7" s="44" t="s">
        <v>6</v>
      </c>
      <c r="C7" s="44" t="s">
        <v>83</v>
      </c>
      <c r="D7" s="44">
        <f>IF(IFERROR(SEARCH("подразделения ≥ 4,5", C7), 0) &gt; 0, 5, IF(IFERROR(SEARCH("подразделения ≥ 4,0", C7), 0) &gt; 0, 3, IF(IFERROR(SEARCH("&lt;", C7), 0) &gt; 0, 0,)))</f>
        <v>3</v>
      </c>
      <c r="F7">
        <v>5</v>
      </c>
      <c r="G7" s="16" t="s">
        <v>82</v>
      </c>
      <c r="N7" s="15"/>
      <c r="U7" s="15"/>
    </row>
    <row r="8" spans="1:21" ht="20.25" customHeight="1">
      <c r="A8" s="51"/>
      <c r="B8" s="54"/>
      <c r="C8" s="52"/>
      <c r="D8" s="52"/>
      <c r="F8">
        <v>3</v>
      </c>
      <c r="G8" s="17" t="s">
        <v>83</v>
      </c>
      <c r="N8" s="13"/>
      <c r="U8" s="13"/>
    </row>
    <row r="9" spans="1:21" ht="18" customHeight="1" thickBot="1">
      <c r="A9" s="40"/>
      <c r="B9" s="55"/>
      <c r="C9" s="45"/>
      <c r="D9" s="45"/>
      <c r="F9">
        <v>0</v>
      </c>
      <c r="G9" s="18" t="s">
        <v>84</v>
      </c>
    </row>
    <row r="10" spans="1:21">
      <c r="A10" s="39" t="s">
        <v>7</v>
      </c>
      <c r="B10" s="44" t="s">
        <v>8</v>
      </c>
      <c r="C10" s="44" t="s">
        <v>85</v>
      </c>
      <c r="D10" s="44">
        <f>IF(IFERROR(SEARCH("отсутствуют", C10), 0) &gt; 0, 10, IF(IFERROR(SEARCH("имеются", C10), 0) &gt; 0, 0, ))</f>
        <v>10</v>
      </c>
      <c r="F10">
        <v>10</v>
      </c>
      <c r="G10" t="s">
        <v>85</v>
      </c>
    </row>
    <row r="11" spans="1:21" ht="24.75" customHeight="1" thickBot="1">
      <c r="A11" s="40"/>
      <c r="B11" s="45"/>
      <c r="C11" s="45"/>
      <c r="D11" s="45"/>
      <c r="F11">
        <v>0</v>
      </c>
      <c r="G11" s="13" t="s">
        <v>86</v>
      </c>
    </row>
    <row r="12" spans="1:21" ht="18" customHeight="1" thickBot="1">
      <c r="A12" s="39" t="s">
        <v>9</v>
      </c>
      <c r="B12" s="44" t="s">
        <v>10</v>
      </c>
      <c r="C12" s="44" t="s">
        <v>87</v>
      </c>
      <c r="D12" s="44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>5</v>
      </c>
      <c r="F12">
        <v>5</v>
      </c>
      <c r="G12" s="14" t="s">
        <v>87</v>
      </c>
    </row>
    <row r="13" spans="1:21" ht="15.75">
      <c r="A13" s="51"/>
      <c r="B13" s="52"/>
      <c r="C13" s="52"/>
      <c r="D13" s="52"/>
      <c r="F13">
        <v>3</v>
      </c>
      <c r="G13" s="13" t="s">
        <v>88</v>
      </c>
    </row>
    <row r="14" spans="1:21" ht="16.5" thickBot="1">
      <c r="A14" s="40"/>
      <c r="B14" s="45"/>
      <c r="C14" s="45"/>
      <c r="D14" s="45"/>
      <c r="F14">
        <v>0</v>
      </c>
      <c r="G14" s="13" t="s">
        <v>89</v>
      </c>
    </row>
    <row r="15" spans="1:21" ht="15.75">
      <c r="A15" s="39" t="s">
        <v>11</v>
      </c>
      <c r="B15" s="44" t="s">
        <v>12</v>
      </c>
      <c r="C15" s="41" t="s">
        <v>91</v>
      </c>
      <c r="D15" s="44">
        <f>IF(IFERROR(SEARCH("Отсутствуют", C15), 0) &gt; 0, 5, IF(IFERROR(SEARCH("Наличие одного", C15), 0) &gt; 0, 3, IF(IFERROR(SEARCH("Наличие двух", C15), 0) &gt; 0, 0,)))</f>
        <v>3</v>
      </c>
      <c r="F15">
        <v>5</v>
      </c>
      <c r="G15" s="19" t="s">
        <v>90</v>
      </c>
    </row>
    <row r="16" spans="1:21" ht="15.75">
      <c r="A16" s="51"/>
      <c r="B16" s="52"/>
      <c r="C16" s="53"/>
      <c r="D16" s="52"/>
      <c r="F16">
        <v>3</v>
      </c>
      <c r="G16" s="13" t="s">
        <v>91</v>
      </c>
    </row>
    <row r="17" spans="1:7" ht="92.25" customHeight="1" thickBot="1">
      <c r="A17" s="40"/>
      <c r="B17" s="45"/>
      <c r="C17" s="43"/>
      <c r="D17" s="45"/>
      <c r="F17">
        <v>0</v>
      </c>
      <c r="G17" s="13" t="s">
        <v>92</v>
      </c>
    </row>
    <row r="18" spans="1:7" ht="15" customHeight="1" thickBot="1">
      <c r="A18" s="39" t="s">
        <v>13</v>
      </c>
      <c r="B18" s="44" t="s">
        <v>14</v>
      </c>
      <c r="C18" s="41" t="s">
        <v>93</v>
      </c>
      <c r="D18" s="44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>10</v>
      </c>
      <c r="F18">
        <v>10</v>
      </c>
      <c r="G18" s="13" t="s">
        <v>93</v>
      </c>
    </row>
    <row r="19" spans="1:7" ht="15" customHeight="1" thickBot="1">
      <c r="A19" s="51"/>
      <c r="B19" s="52"/>
      <c r="C19" s="53"/>
      <c r="D19" s="52"/>
      <c r="F19">
        <v>2</v>
      </c>
      <c r="G19" s="14" t="s">
        <v>94</v>
      </c>
    </row>
    <row r="20" spans="1:7" ht="57" customHeight="1" thickBot="1">
      <c r="A20" s="40"/>
      <c r="B20" s="45"/>
      <c r="C20" s="43"/>
      <c r="D20" s="45"/>
      <c r="F20">
        <v>0</v>
      </c>
      <c r="G20" s="13" t="s">
        <v>95</v>
      </c>
    </row>
    <row r="21" spans="1:7" ht="15.75">
      <c r="A21" s="39" t="s">
        <v>15</v>
      </c>
      <c r="B21" s="44" t="s">
        <v>16</v>
      </c>
      <c r="C21" s="41" t="s">
        <v>96</v>
      </c>
      <c r="D21" s="44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>5</v>
      </c>
      <c r="F21">
        <v>5</v>
      </c>
      <c r="G21" s="13" t="s">
        <v>96</v>
      </c>
    </row>
    <row r="22" spans="1:7" ht="42.75" customHeight="1" thickBot="1">
      <c r="A22" s="40"/>
      <c r="B22" s="45"/>
      <c r="C22" s="43"/>
      <c r="D22" s="45"/>
      <c r="F22">
        <v>0</v>
      </c>
      <c r="G22" s="13" t="s">
        <v>97</v>
      </c>
    </row>
    <row r="23" spans="1:7" ht="15.75">
      <c r="A23" s="39" t="s">
        <v>17</v>
      </c>
      <c r="B23" s="44" t="s">
        <v>18</v>
      </c>
      <c r="C23" s="41" t="s">
        <v>19</v>
      </c>
      <c r="D23" s="44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>10</v>
      </c>
      <c r="F23">
        <v>10</v>
      </c>
      <c r="G23" s="13" t="s">
        <v>19</v>
      </c>
    </row>
    <row r="24" spans="1:7" ht="15.75">
      <c r="A24" s="51"/>
      <c r="B24" s="52"/>
      <c r="C24" s="53"/>
      <c r="D24" s="52"/>
      <c r="F24">
        <v>5</v>
      </c>
      <c r="G24" s="13" t="s">
        <v>98</v>
      </c>
    </row>
    <row r="25" spans="1:7" ht="82.5" customHeight="1" thickBot="1">
      <c r="A25" s="40"/>
      <c r="B25" s="45"/>
      <c r="C25" s="43"/>
      <c r="D25" s="45"/>
      <c r="F25">
        <v>0</v>
      </c>
      <c r="G25" s="13" t="s">
        <v>99</v>
      </c>
    </row>
    <row r="26" spans="1:7" ht="15.75">
      <c r="A26" s="39" t="s">
        <v>20</v>
      </c>
      <c r="B26" s="44" t="s">
        <v>21</v>
      </c>
      <c r="C26" s="41" t="s">
        <v>22</v>
      </c>
      <c r="D26" s="44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>3</v>
      </c>
      <c r="F26">
        <v>3</v>
      </c>
      <c r="G26" s="13" t="s">
        <v>22</v>
      </c>
    </row>
    <row r="27" spans="1:7" ht="41.25" customHeight="1" thickBot="1">
      <c r="A27" s="40"/>
      <c r="B27" s="45"/>
      <c r="C27" s="43"/>
      <c r="D27" s="45"/>
      <c r="F27">
        <v>0</v>
      </c>
      <c r="G27" s="13" t="s">
        <v>100</v>
      </c>
    </row>
    <row r="28" spans="1:7" ht="15.75">
      <c r="A28" s="39" t="s">
        <v>23</v>
      </c>
      <c r="B28" s="44" t="s">
        <v>24</v>
      </c>
      <c r="C28" s="41" t="s">
        <v>101</v>
      </c>
      <c r="D28" s="44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>5</v>
      </c>
      <c r="F28">
        <v>5</v>
      </c>
      <c r="G28" s="13" t="s">
        <v>101</v>
      </c>
    </row>
    <row r="29" spans="1:7" ht="15.75">
      <c r="A29" s="51"/>
      <c r="B29" s="52"/>
      <c r="C29" s="53"/>
      <c r="D29" s="52"/>
      <c r="F29">
        <v>3</v>
      </c>
      <c r="G29" s="13" t="s">
        <v>102</v>
      </c>
    </row>
    <row r="30" spans="1:7" ht="61.5" customHeight="1" thickBot="1">
      <c r="A30" s="40"/>
      <c r="B30" s="45"/>
      <c r="C30" s="43"/>
      <c r="D30" s="45"/>
      <c r="F30">
        <v>0</v>
      </c>
      <c r="G30" s="13" t="s">
        <v>103</v>
      </c>
    </row>
    <row r="31" spans="1:7" ht="15.75">
      <c r="A31" s="39" t="s">
        <v>25</v>
      </c>
      <c r="B31" s="44" t="s">
        <v>26</v>
      </c>
      <c r="C31" s="41" t="s">
        <v>104</v>
      </c>
      <c r="D31" s="44">
        <f>IF(IFERROR(SEARCH("Отсутствуют нарушения ТБ", C31), 0) &gt; 0, 10, IF(IFERROR(SEARCH("Имелись нарушения ТБ", C31), 0) &gt; 0, 0, ))</f>
        <v>10</v>
      </c>
      <c r="F31">
        <v>10</v>
      </c>
      <c r="G31" s="13" t="s">
        <v>104</v>
      </c>
    </row>
    <row r="32" spans="1:7" ht="33.75" customHeight="1" thickBot="1">
      <c r="A32" s="40"/>
      <c r="B32" s="45"/>
      <c r="C32" s="43"/>
      <c r="D32" s="45"/>
      <c r="F32">
        <v>0</v>
      </c>
      <c r="G32" s="13" t="s">
        <v>105</v>
      </c>
    </row>
    <row r="33" spans="1:7" ht="15.75">
      <c r="A33" s="39" t="s">
        <v>27</v>
      </c>
      <c r="B33" s="44" t="s">
        <v>28</v>
      </c>
      <c r="C33" s="41" t="s">
        <v>52</v>
      </c>
      <c r="D33" s="44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>10</v>
      </c>
      <c r="F33">
        <v>10</v>
      </c>
      <c r="G33" s="13" t="s">
        <v>52</v>
      </c>
    </row>
    <row r="34" spans="1:7" ht="15.75">
      <c r="A34" s="51"/>
      <c r="B34" s="52"/>
      <c r="C34" s="53"/>
      <c r="D34" s="52"/>
      <c r="F34">
        <v>5</v>
      </c>
      <c r="G34" s="13" t="s">
        <v>106</v>
      </c>
    </row>
    <row r="35" spans="1:7" ht="18" customHeight="1" thickBot="1">
      <c r="A35" s="40"/>
      <c r="B35" s="45"/>
      <c r="C35" s="43"/>
      <c r="D35" s="45"/>
      <c r="F35">
        <v>0</v>
      </c>
      <c r="G35" s="13" t="s">
        <v>107</v>
      </c>
    </row>
    <row r="36" spans="1:7" ht="15.75">
      <c r="A36" s="39" t="s">
        <v>29</v>
      </c>
      <c r="B36" s="44" t="s">
        <v>30</v>
      </c>
      <c r="C36" s="41" t="s">
        <v>31</v>
      </c>
      <c r="D36" s="44">
        <f>IF(IFERROR(SEARCH("Материальные средства ", C36), 0) &gt; 0, 5, IF(IFERROR(SEARCH("Не выполнены ", C36), 0) &gt; 0, 0, ))</f>
        <v>5</v>
      </c>
      <c r="F36">
        <v>5</v>
      </c>
      <c r="G36" s="13" t="s">
        <v>31</v>
      </c>
    </row>
    <row r="37" spans="1:7" ht="45" customHeight="1" thickBot="1">
      <c r="A37" s="40"/>
      <c r="B37" s="45"/>
      <c r="C37" s="43"/>
      <c r="D37" s="45"/>
      <c r="F37">
        <v>0</v>
      </c>
      <c r="G37" s="13" t="s">
        <v>110</v>
      </c>
    </row>
    <row r="38" spans="1:7" ht="15.75">
      <c r="A38" s="39" t="s">
        <v>32</v>
      </c>
      <c r="B38" s="44" t="s">
        <v>33</v>
      </c>
      <c r="C38" s="41" t="s">
        <v>108</v>
      </c>
      <c r="D38" s="44">
        <f>IF(IFERROR(SEARCH("5", C38), 0) &gt; 0, 2, IF(IFERROR(SEARCH("4", C38), 0) &gt; 0, 1, ))</f>
        <v>2</v>
      </c>
      <c r="F38">
        <v>2</v>
      </c>
      <c r="G38" s="13" t="s">
        <v>108</v>
      </c>
    </row>
    <row r="39" spans="1:7" ht="103.5" customHeight="1" thickBot="1">
      <c r="A39" s="40"/>
      <c r="B39" s="45"/>
      <c r="C39" s="43"/>
      <c r="D39" s="45"/>
      <c r="F39">
        <v>1</v>
      </c>
      <c r="G39" s="13" t="s">
        <v>109</v>
      </c>
    </row>
    <row r="40" spans="1:7">
      <c r="A40" s="46" t="s">
        <v>34</v>
      </c>
      <c r="B40" s="47"/>
      <c r="C40" s="66"/>
      <c r="D40" s="68">
        <f>SUM(D7:D39)</f>
        <v>81</v>
      </c>
      <c r="E40" s="65"/>
    </row>
    <row r="41" spans="1:7" ht="15.75" thickBot="1">
      <c r="A41" s="48"/>
      <c r="B41" s="49"/>
      <c r="C41" s="67"/>
      <c r="D41" s="69"/>
      <c r="E41" s="65"/>
    </row>
    <row r="43" spans="1:7" ht="20.25">
      <c r="A43" s="37" t="s">
        <v>35</v>
      </c>
      <c r="B43" s="37"/>
      <c r="C43" s="37"/>
      <c r="D43" s="5"/>
      <c r="E43" s="5"/>
    </row>
    <row r="44" spans="1:7" ht="20.25">
      <c r="A44" s="37"/>
      <c r="B44" s="37"/>
      <c r="C44" s="37"/>
      <c r="D44" s="6"/>
      <c r="E44" s="6"/>
    </row>
    <row r="45" spans="1:7" ht="20.25">
      <c r="A45" s="5"/>
      <c r="B45" s="5"/>
      <c r="C45" s="5" t="s">
        <v>36</v>
      </c>
      <c r="D45" s="5"/>
      <c r="E45" s="5"/>
    </row>
    <row r="46" spans="1:7" ht="20.25">
      <c r="A46" s="5"/>
      <c r="B46" s="5"/>
      <c r="C46" s="5" t="s">
        <v>320</v>
      </c>
    </row>
  </sheetData>
  <mergeCells count="63">
    <mergeCell ref="A1:E1"/>
    <mergeCell ref="A2:E2"/>
    <mergeCell ref="A3:E3"/>
    <mergeCell ref="A4:E4"/>
    <mergeCell ref="B5:B6"/>
    <mergeCell ref="C5:C6"/>
    <mergeCell ref="D5:D6"/>
    <mergeCell ref="A7:A9"/>
    <mergeCell ref="B7:B9"/>
    <mergeCell ref="C7:C9"/>
    <mergeCell ref="D7:D9"/>
    <mergeCell ref="A10:A11"/>
    <mergeCell ref="B10:B11"/>
    <mergeCell ref="C10:C11"/>
    <mergeCell ref="D10:D11"/>
    <mergeCell ref="A12:A14"/>
    <mergeCell ref="B12:B14"/>
    <mergeCell ref="C12:C14"/>
    <mergeCell ref="D12:D14"/>
    <mergeCell ref="A15:A17"/>
    <mergeCell ref="B15:B17"/>
    <mergeCell ref="C15:C17"/>
    <mergeCell ref="D15:D17"/>
    <mergeCell ref="A18:A20"/>
    <mergeCell ref="B18:B20"/>
    <mergeCell ref="C18:C20"/>
    <mergeCell ref="D18:D20"/>
    <mergeCell ref="A21:A22"/>
    <mergeCell ref="B21:B22"/>
    <mergeCell ref="C21:C22"/>
    <mergeCell ref="D21:D22"/>
    <mergeCell ref="A23:A25"/>
    <mergeCell ref="B23:B25"/>
    <mergeCell ref="C23:C25"/>
    <mergeCell ref="D23:D25"/>
    <mergeCell ref="A26:A27"/>
    <mergeCell ref="B26:B27"/>
    <mergeCell ref="C26:C27"/>
    <mergeCell ref="D26:D27"/>
    <mergeCell ref="A28:A30"/>
    <mergeCell ref="B28:B30"/>
    <mergeCell ref="C28:C30"/>
    <mergeCell ref="D28:D30"/>
    <mergeCell ref="A31:A32"/>
    <mergeCell ref="B31:B32"/>
    <mergeCell ref="C31:C32"/>
    <mergeCell ref="D31:D32"/>
    <mergeCell ref="A33:A35"/>
    <mergeCell ref="B33:B35"/>
    <mergeCell ref="C33:C35"/>
    <mergeCell ref="D33:D35"/>
    <mergeCell ref="A36:A37"/>
    <mergeCell ref="B36:B37"/>
    <mergeCell ref="C36:C37"/>
    <mergeCell ref="D36:D37"/>
    <mergeCell ref="E40:E41"/>
    <mergeCell ref="A43:C44"/>
    <mergeCell ref="A38:A39"/>
    <mergeCell ref="B38:B39"/>
    <mergeCell ref="C38:C39"/>
    <mergeCell ref="D38:D39"/>
    <mergeCell ref="A40:C41"/>
    <mergeCell ref="D40:D41"/>
  </mergeCells>
  <dataValidations count="13">
    <dataValidation type="list" allowBlank="1" showInputMessage="1" showErrorMessage="1" sqref="C7:C9">
      <formula1>$G$7:$G$9</formula1>
    </dataValidation>
    <dataValidation type="list" allowBlank="1" showInputMessage="1" showErrorMessage="1" sqref="C10:C11">
      <formula1>$G$10:$G$11</formula1>
    </dataValidation>
    <dataValidation type="list" allowBlank="1" showInputMessage="1" showErrorMessage="1" sqref="C12:C14">
      <formula1>$G$12:$G$14</formula1>
    </dataValidation>
    <dataValidation type="list" allowBlank="1" showInputMessage="1" showErrorMessage="1" sqref="C15:C17">
      <formula1>$G$15:$G$17</formula1>
    </dataValidation>
    <dataValidation type="list" allowBlank="1" showInputMessage="1" showErrorMessage="1" sqref="C18:C20">
      <formula1>$G$18:$G$20</formula1>
    </dataValidation>
    <dataValidation type="list" allowBlank="1" showInputMessage="1" showErrorMessage="1" sqref="C21:C22">
      <formula1>$G$21:$G$22</formula1>
    </dataValidation>
    <dataValidation type="list" allowBlank="1" showInputMessage="1" showErrorMessage="1" sqref="C23:C25">
      <formula1>$G$23:$G$25</formula1>
    </dataValidation>
    <dataValidation type="list" allowBlank="1" showInputMessage="1" showErrorMessage="1" sqref="C26:C27">
      <formula1>$G$26:$G$27</formula1>
    </dataValidation>
    <dataValidation type="list" allowBlank="1" showInputMessage="1" showErrorMessage="1" sqref="C28:C30">
      <formula1>$G$28:$G$30</formula1>
    </dataValidation>
    <dataValidation type="list" allowBlank="1" showInputMessage="1" showErrorMessage="1" sqref="C31:C32">
      <formula1>$G$31:$G$32</formula1>
    </dataValidation>
    <dataValidation type="list" allowBlank="1" showInputMessage="1" showErrorMessage="1" sqref="C33:C35">
      <formula1>$G$33:$G$35</formula1>
    </dataValidation>
    <dataValidation type="list" allowBlank="1" showInputMessage="1" showErrorMessage="1" sqref="C36:C37">
      <formula1>$G$36:$G$37</formula1>
    </dataValidation>
    <dataValidation type="list" allowBlank="1" showInputMessage="1" showErrorMessage="1" sqref="C38:C39">
      <formula1>$G$38:$G$39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92D050"/>
  </sheetPr>
  <dimension ref="A1:L56"/>
  <sheetViews>
    <sheetView workbookViewId="0">
      <selection activeCell="G1" sqref="G1:L1048576"/>
    </sheetView>
  </sheetViews>
  <sheetFormatPr defaultRowHeight="15"/>
  <cols>
    <col min="2" max="2" width="26" customWidth="1"/>
    <col min="3" max="3" width="58.5703125" customWidth="1"/>
    <col min="4" max="4" width="28.5703125" customWidth="1"/>
    <col min="5" max="5" width="0.140625" customWidth="1"/>
    <col min="6" max="6" width="0.42578125" customWidth="1"/>
    <col min="7" max="11" width="9.140625" hidden="1" customWidth="1"/>
    <col min="12" max="12" width="12" hidden="1" customWidth="1"/>
    <col min="13" max="13" width="9.140625" customWidth="1"/>
  </cols>
  <sheetData>
    <row r="1" spans="1:12" ht="20.25">
      <c r="A1" s="56" t="s">
        <v>0</v>
      </c>
      <c r="B1" s="56"/>
      <c r="C1" s="56"/>
      <c r="D1" s="56"/>
      <c r="E1" s="56"/>
    </row>
    <row r="2" spans="1:12" ht="18.75">
      <c r="A2" s="57" t="s">
        <v>1</v>
      </c>
      <c r="B2" s="57"/>
      <c r="C2" s="57"/>
      <c r="D2" s="57"/>
      <c r="E2" s="57"/>
    </row>
    <row r="3" spans="1:12" ht="18.75" customHeight="1">
      <c r="A3" s="58" t="s">
        <v>325</v>
      </c>
      <c r="B3" s="57"/>
      <c r="C3" s="57"/>
      <c r="D3" s="57"/>
      <c r="E3" s="57"/>
    </row>
    <row r="4" spans="1:12" ht="16.5" thickBot="1">
      <c r="A4" s="59"/>
      <c r="B4" s="59"/>
      <c r="C4" s="59"/>
      <c r="D4" s="59"/>
      <c r="E4" s="59"/>
    </row>
    <row r="5" spans="1:12" ht="15.75" customHeight="1">
      <c r="A5" s="2" t="s">
        <v>3</v>
      </c>
      <c r="B5" s="60" t="s">
        <v>54</v>
      </c>
      <c r="C5" s="60" t="s">
        <v>55</v>
      </c>
      <c r="D5" s="60" t="s">
        <v>42</v>
      </c>
    </row>
    <row r="6" spans="1:12" ht="16.5" thickBot="1">
      <c r="A6" s="4" t="s">
        <v>4</v>
      </c>
      <c r="B6" s="61"/>
      <c r="C6" s="61"/>
      <c r="D6" s="61"/>
    </row>
    <row r="7" spans="1:12" ht="15" customHeight="1">
      <c r="A7" s="39" t="s">
        <v>5</v>
      </c>
      <c r="B7" s="44" t="s">
        <v>6</v>
      </c>
      <c r="C7" s="44" t="s">
        <v>345</v>
      </c>
      <c r="D7" s="44">
        <f>IF(IFERROR(SEARCH("подразделения ≥ 4,5", C7), 0) &gt; 0, 5, IF(IFERROR(SEARCH("подразделения ≥ 4,0", C7), 0) &gt; 0, 3, IF(IFERROR(SEARCH("&lt;", C7), 0) &gt; 0, 0,)))</f>
        <v>0</v>
      </c>
      <c r="F7">
        <v>5</v>
      </c>
      <c r="G7" s="16" t="s">
        <v>344</v>
      </c>
    </row>
    <row r="8" spans="1:12" ht="15" customHeight="1">
      <c r="A8" s="51"/>
      <c r="B8" s="54"/>
      <c r="C8" s="52"/>
      <c r="D8" s="52"/>
      <c r="F8">
        <v>3</v>
      </c>
      <c r="G8" s="17" t="s">
        <v>343</v>
      </c>
    </row>
    <row r="9" spans="1:12" ht="18.75" customHeight="1" thickBot="1">
      <c r="A9" s="40"/>
      <c r="B9" s="55"/>
      <c r="C9" s="45"/>
      <c r="D9" s="45"/>
      <c r="F9">
        <v>0</v>
      </c>
      <c r="G9" s="18" t="s">
        <v>345</v>
      </c>
    </row>
    <row r="10" spans="1:12" ht="15" customHeight="1">
      <c r="A10" s="39" t="s">
        <v>7</v>
      </c>
      <c r="B10" s="44" t="s">
        <v>8</v>
      </c>
      <c r="C10" s="44" t="s">
        <v>259</v>
      </c>
      <c r="D10" s="44">
        <f>IF(C10="Академические задолжности отсутствуют",10,0)</f>
        <v>10</v>
      </c>
      <c r="F10">
        <v>10</v>
      </c>
    </row>
    <row r="11" spans="1:12" ht="15.75" customHeight="1" thickBot="1">
      <c r="A11" s="40"/>
      <c r="B11" s="45"/>
      <c r="C11" s="45"/>
      <c r="D11" s="45"/>
      <c r="F11">
        <v>0</v>
      </c>
    </row>
    <row r="12" spans="1:12" ht="15" customHeight="1">
      <c r="A12" s="39" t="s">
        <v>9</v>
      </c>
      <c r="B12" s="44" t="s">
        <v>10</v>
      </c>
      <c r="C12" s="44" t="s">
        <v>260</v>
      </c>
      <c r="D12" s="44">
        <f>IF(C12="В подразделении и у КУГ отсутствуют текущие задолжности",5,IF(C12="Имеются менее 20% текущих задолжностей в подразделении или у КУГ",3,IF(C12="Имеются более 20% текущих задолжностей в подразделении или у КУГ",0,)))</f>
        <v>0</v>
      </c>
      <c r="F12">
        <v>5</v>
      </c>
    </row>
    <row r="13" spans="1:12" ht="15" customHeight="1">
      <c r="A13" s="51"/>
      <c r="B13" s="52"/>
      <c r="C13" s="52"/>
      <c r="D13" s="52"/>
      <c r="F13">
        <v>3</v>
      </c>
    </row>
    <row r="14" spans="1:12" ht="15.75" customHeight="1" thickBot="1">
      <c r="A14" s="40"/>
      <c r="B14" s="45"/>
      <c r="C14" s="45"/>
      <c r="D14" s="45"/>
      <c r="F14">
        <v>0</v>
      </c>
    </row>
    <row r="15" spans="1:12" ht="15" customHeight="1">
      <c r="A15" s="39" t="s">
        <v>11</v>
      </c>
      <c r="B15" s="44" t="s">
        <v>39</v>
      </c>
      <c r="C15" s="64" t="s">
        <v>77</v>
      </c>
      <c r="D15" s="44">
        <f>IF(C15="Подразделение прибыло на занятие своевременно; дежурный по аудитории назначен; ЖУУЗ и классная доска оформлены; литература, конспекты, ПЭВМ (по необходимости) получены; внутренний порядок в аудитории поддерживается",5,IF(C15="Подразделение прибыло на занятие своевременно; дежурный по аудитории назначен; литература, конспекты, ПЭВМ (по необходимости) получены; ЖУУЗ или классная доска оформлены не своевременно; или имеются отклонения по  внутреннему порядку в аудитории",3,IF(C15="одразделение опоздало на занятие; или ЖУУЗ и классная доска не оформлены; литература, конспекты, ПЭВМ (по необходимости) не получены; или внутренний порядок в аудитории не поддерживается ",0,)))</f>
        <v>3</v>
      </c>
      <c r="F15">
        <v>5</v>
      </c>
      <c r="L15" s="13" t="s">
        <v>40</v>
      </c>
    </row>
    <row r="16" spans="1:12" ht="15" customHeight="1">
      <c r="A16" s="51"/>
      <c r="B16" s="52"/>
      <c r="C16" s="62"/>
      <c r="D16" s="52"/>
      <c r="F16">
        <v>3</v>
      </c>
      <c r="L16" s="13" t="s">
        <v>77</v>
      </c>
    </row>
    <row r="17" spans="1:12" ht="52.5" customHeight="1" thickBot="1">
      <c r="A17" s="40"/>
      <c r="B17" s="45"/>
      <c r="C17" s="63"/>
      <c r="D17" s="45"/>
      <c r="F17">
        <v>0</v>
      </c>
      <c r="L17" t="s">
        <v>78</v>
      </c>
    </row>
    <row r="18" spans="1:12" ht="15" customHeight="1" thickBot="1">
      <c r="A18" s="39" t="s">
        <v>13</v>
      </c>
      <c r="B18" s="44" t="s">
        <v>41</v>
      </c>
      <c r="C18" s="64" t="s">
        <v>80</v>
      </c>
      <c r="D18" s="44">
        <f>IF(IFERROR(SEARCH("30%", C18), 0) &gt; 0, 5, IF(IFERROR(SEARCH("10%", C18), 0) &gt; 0, 3, IF(IFERROR(SEARCH("не получены", C18), 0) &gt; 0, 0,)))</f>
        <v>3</v>
      </c>
      <c r="F18">
        <v>10</v>
      </c>
      <c r="L18" s="14" t="s">
        <v>79</v>
      </c>
    </row>
    <row r="19" spans="1:12" ht="15" customHeight="1">
      <c r="A19" s="51"/>
      <c r="B19" s="52"/>
      <c r="C19" s="62"/>
      <c r="D19" s="52"/>
      <c r="F19">
        <v>2</v>
      </c>
      <c r="L19" s="13" t="s">
        <v>80</v>
      </c>
    </row>
    <row r="20" spans="1:12" ht="105" customHeight="1" thickBot="1">
      <c r="A20" s="40"/>
      <c r="B20" s="45"/>
      <c r="C20" s="63"/>
      <c r="D20" s="45"/>
      <c r="F20">
        <v>0</v>
      </c>
      <c r="L20" s="13" t="s">
        <v>81</v>
      </c>
    </row>
    <row r="21" spans="1:12" ht="15" customHeight="1">
      <c r="A21" s="39" t="s">
        <v>15</v>
      </c>
      <c r="B21" s="44" t="s">
        <v>12</v>
      </c>
      <c r="C21" s="41" t="s">
        <v>73</v>
      </c>
      <c r="D21" s="44">
        <f>IF(C21="Замечания в подразделении и у КУГ отсутствуют",5,IF(C21="В подразделении 2 замечания у КУГ отсутствуют",3,IF(C21="В подразделении 3 и более замечаний или замечания у КУГ",0,)))</f>
        <v>5</v>
      </c>
      <c r="F21">
        <v>5</v>
      </c>
    </row>
    <row r="22" spans="1:12" ht="15.75" customHeight="1">
      <c r="A22" s="51"/>
      <c r="B22" s="52"/>
      <c r="C22" s="53"/>
      <c r="D22" s="52"/>
      <c r="F22">
        <v>0</v>
      </c>
    </row>
    <row r="23" spans="1:12" ht="82.5" customHeight="1" thickBot="1">
      <c r="A23" s="40"/>
      <c r="B23" s="45"/>
      <c r="C23" s="43"/>
      <c r="D23" s="45"/>
      <c r="F23">
        <v>10</v>
      </c>
    </row>
    <row r="24" spans="1:12" ht="15" customHeight="1">
      <c r="A24" s="39" t="s">
        <v>17</v>
      </c>
      <c r="B24" s="44" t="s">
        <v>14</v>
      </c>
      <c r="C24" s="41" t="s">
        <v>262</v>
      </c>
      <c r="D24" s="44">
        <f>IF(C24="ПРО, ПРЕ, ГДП в подразделении и КУГ отсутствуют",10,IF(C24="ПРО, ПРЕ отсутствуют, имеются не снятые взыскания за ГДП в подразделении, у КУГ отсутствуют",2,IF(C24="Совершено ПРО, ПРЕ, ГДП в подразделении или КУГ или допущено сокрытие",0,)))</f>
        <v>10</v>
      </c>
      <c r="F24">
        <v>5</v>
      </c>
    </row>
    <row r="25" spans="1:12" ht="15.75" customHeight="1">
      <c r="A25" s="51"/>
      <c r="B25" s="52"/>
      <c r="C25" s="53"/>
      <c r="D25" s="52"/>
      <c r="F25">
        <v>0</v>
      </c>
    </row>
    <row r="26" spans="1:12" ht="52.5" customHeight="1" thickBot="1">
      <c r="A26" s="40"/>
      <c r="B26" s="45"/>
      <c r="C26" s="43"/>
      <c r="D26" s="45"/>
      <c r="F26">
        <v>3</v>
      </c>
    </row>
    <row r="27" spans="1:12" ht="15.75" customHeight="1">
      <c r="A27" s="39" t="s">
        <v>20</v>
      </c>
      <c r="B27" s="44" t="s">
        <v>16</v>
      </c>
      <c r="C27" s="41" t="s">
        <v>57</v>
      </c>
      <c r="D27" s="44">
        <f>IF(C27="Дисциплинарная практика к подчиненному личному составу ведется",5,0)</f>
        <v>5</v>
      </c>
      <c r="F27">
        <v>0</v>
      </c>
    </row>
    <row r="28" spans="1:12" ht="15" customHeight="1" thickBot="1">
      <c r="A28" s="40"/>
      <c r="B28" s="45"/>
      <c r="C28" s="43"/>
      <c r="D28" s="45"/>
      <c r="F28">
        <v>5</v>
      </c>
    </row>
    <row r="29" spans="1:12" ht="15" customHeight="1">
      <c r="A29" s="39" t="s">
        <v>23</v>
      </c>
      <c r="B29" s="44" t="s">
        <v>18</v>
      </c>
      <c r="C29" s="41" t="s">
        <v>60</v>
      </c>
      <c r="D29" s="44">
        <f>IF(C29="Обстановкой владеет, доклады представляет, книжка сержантов актуальна",10,IF(C29="Обстановкой владеет, доклады представляет, книжка сержантов не актуальна",5,IF(C29="Обстановкой не владеет, доклады не представляет, книжка сержантов не актуальна",0,)))</f>
        <v>10</v>
      </c>
      <c r="F29">
        <v>3</v>
      </c>
    </row>
    <row r="30" spans="1:12" ht="15.75" customHeight="1">
      <c r="A30" s="51"/>
      <c r="B30" s="52"/>
      <c r="C30" s="53"/>
      <c r="D30" s="52"/>
      <c r="F30">
        <v>0</v>
      </c>
    </row>
    <row r="31" spans="1:12" ht="105" customHeight="1" thickBot="1">
      <c r="A31" s="40"/>
      <c r="B31" s="45"/>
      <c r="C31" s="43"/>
      <c r="D31" s="45"/>
      <c r="F31">
        <v>10</v>
      </c>
    </row>
    <row r="32" spans="1:12" ht="26.25" customHeight="1">
      <c r="A32" s="39" t="s">
        <v>25</v>
      </c>
      <c r="B32" s="44" t="s">
        <v>21</v>
      </c>
      <c r="C32" s="41" t="s">
        <v>75</v>
      </c>
      <c r="D32" s="44">
        <f>IF(C32="Подведение итогов актуально, поставлены конкретные задачи и проводится в установленное время",3,0)</f>
        <v>3</v>
      </c>
      <c r="F32">
        <v>0</v>
      </c>
    </row>
    <row r="33" spans="1:6" ht="30" customHeight="1" thickBot="1">
      <c r="A33" s="40"/>
      <c r="B33" s="45"/>
      <c r="C33" s="43"/>
      <c r="D33" s="45"/>
      <c r="F33">
        <v>10</v>
      </c>
    </row>
    <row r="34" spans="1:6" ht="15" customHeight="1">
      <c r="A34" s="51" t="s">
        <v>27</v>
      </c>
      <c r="B34" s="52" t="s">
        <v>43</v>
      </c>
      <c r="C34" s="41" t="s">
        <v>263</v>
      </c>
      <c r="D34" s="62">
        <f>IF(C34="Увольнения распределены равномерно",2,0)</f>
        <v>2</v>
      </c>
      <c r="F34">
        <v>5</v>
      </c>
    </row>
    <row r="35" spans="1:6" ht="15.75" customHeight="1" thickBot="1">
      <c r="A35" s="40"/>
      <c r="B35" s="45"/>
      <c r="C35" s="43"/>
      <c r="D35" s="63"/>
      <c r="F35">
        <v>0</v>
      </c>
    </row>
    <row r="36" spans="1:6" ht="15" customHeight="1">
      <c r="A36" s="39" t="s">
        <v>29</v>
      </c>
      <c r="B36" s="44" t="s">
        <v>44</v>
      </c>
      <c r="C36" s="44" t="s">
        <v>61</v>
      </c>
      <c r="D36" s="64">
        <f>IF(C36="Наряды и уборщики распределены равномерно",2,IF(C36="Наряды распределены равномерно, уборщики не равномерно",1,IF(C36="Наряды и уборщики распределены не равномерно",0,)))</f>
        <v>2</v>
      </c>
      <c r="F36">
        <v>5</v>
      </c>
    </row>
    <row r="37" spans="1:6" ht="15.75" customHeight="1">
      <c r="A37" s="51"/>
      <c r="B37" s="52"/>
      <c r="C37" s="52"/>
      <c r="D37" s="62"/>
      <c r="F37">
        <v>0</v>
      </c>
    </row>
    <row r="38" spans="1:6" ht="38.25" customHeight="1" thickBot="1">
      <c r="A38" s="40"/>
      <c r="B38" s="45"/>
      <c r="C38" s="45"/>
      <c r="D38" s="63"/>
      <c r="F38">
        <v>2</v>
      </c>
    </row>
    <row r="39" spans="1:6" ht="15.75" customHeight="1">
      <c r="A39" s="39" t="s">
        <v>32</v>
      </c>
      <c r="B39" s="44" t="s">
        <v>24</v>
      </c>
      <c r="C39" s="41" t="s">
        <v>264</v>
      </c>
      <c r="D39" s="44">
        <f>IF(C39="Замечания у подчиненного л/с отсутствуют, КУГ оценен не ниже «хорошо»",5,IF(C39="Выявлено не более 2 замечаний у подчиненного л/с, КУГ оценен не ниже «хорошо»",3,IF(C39="Л/с отстранен или выявлено более 2 замечаний, КУГ оценен ниже «хорошо»",0,)))</f>
        <v>5</v>
      </c>
      <c r="F39">
        <v>1</v>
      </c>
    </row>
    <row r="40" spans="1:6" ht="15" customHeight="1">
      <c r="A40" s="51"/>
      <c r="B40" s="52"/>
      <c r="C40" s="53"/>
      <c r="D40" s="52"/>
    </row>
    <row r="41" spans="1:6" ht="40.5" customHeight="1" thickBot="1">
      <c r="A41" s="40"/>
      <c r="B41" s="45"/>
      <c r="C41" s="43"/>
      <c r="D41" s="45"/>
    </row>
    <row r="42" spans="1:6">
      <c r="A42" s="39" t="s">
        <v>45</v>
      </c>
      <c r="B42" s="44" t="s">
        <v>26</v>
      </c>
      <c r="C42" s="41" t="s">
        <v>65</v>
      </c>
      <c r="D42" s="44">
        <f>IF(C42="Нарушений ТБ, приведших к травматизму л/с нет",10,0)</f>
        <v>10</v>
      </c>
    </row>
    <row r="43" spans="1:6" ht="44.25" customHeight="1" thickBot="1">
      <c r="A43" s="40"/>
      <c r="B43" s="45"/>
      <c r="C43" s="43"/>
      <c r="D43" s="45"/>
    </row>
    <row r="44" spans="1:6">
      <c r="A44" s="39" t="s">
        <v>46</v>
      </c>
      <c r="B44" s="44" t="s">
        <v>28</v>
      </c>
      <c r="C44" s="41" t="s">
        <v>52</v>
      </c>
      <c r="D44" s="44">
        <f>IF(C44="Элементы распорядка дня соблюдаются",10,IF(C44="Не более пяти нарушений распорядка дня, срывов мероприятий не допущено",5,IF(C44="Более пяти нарушений элементов распорядка дня или мероприятие сорвано",0,)))</f>
        <v>10</v>
      </c>
    </row>
    <row r="45" spans="1:6">
      <c r="A45" s="51"/>
      <c r="B45" s="52"/>
      <c r="C45" s="53"/>
      <c r="D45" s="52"/>
    </row>
    <row r="46" spans="1:6" ht="15.75" thickBot="1">
      <c r="A46" s="40"/>
      <c r="B46" s="45"/>
      <c r="C46" s="43"/>
      <c r="D46" s="45"/>
    </row>
    <row r="47" spans="1:6">
      <c r="A47" s="39" t="s">
        <v>47</v>
      </c>
      <c r="B47" s="44" t="s">
        <v>30</v>
      </c>
      <c r="C47" s="41" t="s">
        <v>31</v>
      </c>
      <c r="D47" s="44">
        <f>IF(C47="Материальные средства подразделения в наличии, исправны, обслужены, хранятся правильно",5,0)</f>
        <v>5</v>
      </c>
    </row>
    <row r="48" spans="1:6" ht="45" customHeight="1" thickBot="1">
      <c r="A48" s="40"/>
      <c r="B48" s="45"/>
      <c r="C48" s="43"/>
      <c r="D48" s="45"/>
    </row>
    <row r="49" spans="1:5">
      <c r="A49" s="39" t="s">
        <v>48</v>
      </c>
      <c r="B49" s="44" t="s">
        <v>33</v>
      </c>
      <c r="C49" s="41" t="s">
        <v>49</v>
      </c>
      <c r="D49" s="44">
        <f>IF(C49="Оценка по физической подготовке (культуре) - 5",2,1)</f>
        <v>2</v>
      </c>
    </row>
    <row r="50" spans="1:5" ht="97.5" customHeight="1" thickBot="1">
      <c r="A50" s="40"/>
      <c r="B50" s="45"/>
      <c r="C50" s="43"/>
      <c r="D50" s="45"/>
    </row>
    <row r="51" spans="1:5" ht="15.75">
      <c r="A51" s="46" t="s">
        <v>34</v>
      </c>
      <c r="B51" s="47"/>
      <c r="C51" s="47"/>
      <c r="D51" s="50">
        <f>SUM(D7:D50)</f>
        <v>85</v>
      </c>
      <c r="E51" s="8"/>
    </row>
    <row r="52" spans="1:5" ht="16.5" thickBot="1">
      <c r="A52" s="48"/>
      <c r="B52" s="49"/>
      <c r="C52" s="49"/>
      <c r="D52" s="42"/>
      <c r="E52" s="8"/>
    </row>
    <row r="54" spans="1:5" ht="20.25">
      <c r="A54" s="37" t="s">
        <v>35</v>
      </c>
      <c r="B54" s="37"/>
      <c r="C54" s="37"/>
      <c r="D54" s="37"/>
      <c r="E54" s="37"/>
    </row>
    <row r="55" spans="1:5" ht="20.25">
      <c r="A55" s="38" t="s">
        <v>36</v>
      </c>
      <c r="B55" s="38"/>
      <c r="C55" s="38"/>
      <c r="D55" s="38"/>
      <c r="E55" s="38"/>
    </row>
    <row r="56" spans="1:5" ht="21">
      <c r="A56" s="9"/>
      <c r="B56" s="9"/>
      <c r="C56" s="5" t="s">
        <v>319</v>
      </c>
      <c r="D56" s="5"/>
      <c r="E56" s="9"/>
    </row>
  </sheetData>
  <mergeCells count="79">
    <mergeCell ref="A1:E1"/>
    <mergeCell ref="A2:E2"/>
    <mergeCell ref="A3:E3"/>
    <mergeCell ref="A4:E4"/>
    <mergeCell ref="B5:B6"/>
    <mergeCell ref="C5:C6"/>
    <mergeCell ref="D5:D6"/>
    <mergeCell ref="A7:A9"/>
    <mergeCell ref="B7:B9"/>
    <mergeCell ref="C7:C9"/>
    <mergeCell ref="D7:D9"/>
    <mergeCell ref="A10:A11"/>
    <mergeCell ref="B10:B11"/>
    <mergeCell ref="C10:C11"/>
    <mergeCell ref="D10:D11"/>
    <mergeCell ref="A12:A14"/>
    <mergeCell ref="B12:B14"/>
    <mergeCell ref="C12:C14"/>
    <mergeCell ref="D12:D14"/>
    <mergeCell ref="A15:A17"/>
    <mergeCell ref="B15:B17"/>
    <mergeCell ref="C15:C17"/>
    <mergeCell ref="D15:D17"/>
    <mergeCell ref="A18:A20"/>
    <mergeCell ref="B18:B20"/>
    <mergeCell ref="C18:C20"/>
    <mergeCell ref="D18:D20"/>
    <mergeCell ref="A21:A23"/>
    <mergeCell ref="B21:B23"/>
    <mergeCell ref="C21:C23"/>
    <mergeCell ref="D21:D23"/>
    <mergeCell ref="A24:A26"/>
    <mergeCell ref="B24:B26"/>
    <mergeCell ref="C24:C26"/>
    <mergeCell ref="D24:D26"/>
    <mergeCell ref="A27:A28"/>
    <mergeCell ref="B27:B28"/>
    <mergeCell ref="C27:C28"/>
    <mergeCell ref="D27:D28"/>
    <mergeCell ref="A29:A31"/>
    <mergeCell ref="B29:B31"/>
    <mergeCell ref="C29:C31"/>
    <mergeCell ref="D29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8"/>
    <mergeCell ref="B36:B38"/>
    <mergeCell ref="C36:C38"/>
    <mergeCell ref="D36:D38"/>
    <mergeCell ref="A39:A41"/>
    <mergeCell ref="B39:B41"/>
    <mergeCell ref="C39:C41"/>
    <mergeCell ref="D39:D41"/>
    <mergeCell ref="A42:A43"/>
    <mergeCell ref="B42:B43"/>
    <mergeCell ref="C42:C43"/>
    <mergeCell ref="D42:D43"/>
    <mergeCell ref="A44:A46"/>
    <mergeCell ref="B44:B46"/>
    <mergeCell ref="C44:C46"/>
    <mergeCell ref="D44:D46"/>
    <mergeCell ref="A47:A48"/>
    <mergeCell ref="B47:B48"/>
    <mergeCell ref="C47:C48"/>
    <mergeCell ref="D47:D48"/>
    <mergeCell ref="A54:E54"/>
    <mergeCell ref="A55:E55"/>
    <mergeCell ref="A49:A50"/>
    <mergeCell ref="B49:B50"/>
    <mergeCell ref="C49:C50"/>
    <mergeCell ref="D49:D50"/>
    <mergeCell ref="A51:C52"/>
    <mergeCell ref="D51:D52"/>
  </mergeCells>
  <dataValidations count="17">
    <dataValidation type="list" allowBlank="1" showInputMessage="1" showErrorMessage="1" sqref="C7:C9">
      <formula1>$G$7:$G$9</formula1>
    </dataValidation>
    <dataValidation type="list" allowBlank="1" showInputMessage="1" showErrorMessage="1" sqref="C10:C11">
      <formula1>"Академические задолжности отсутствуют, Имеются академические задолжности в учебной группе или у КУГ"</formula1>
    </dataValidation>
    <dataValidation type="list" allowBlank="1" showInputMessage="1" showErrorMessage="1" sqref="C12:C14">
      <formula1>"В подразделении и у КУГ отсутствуют текущие задолжности,Имеются менее 20% текущих задолжностей в подразделении или у КУГ,Имеются более 20% текущих задолжностей в подразделении или у КУГ"</formula1>
    </dataValidation>
    <dataValidation type="list" allowBlank="1" showInputMessage="1" showErrorMessage="1" sqref="C15:C17">
      <formula1>$L$15:$L$17</formula1>
    </dataValidation>
    <dataValidation type="list" allowBlank="1" showInputMessage="1" showErrorMessage="1" sqref="C21:C23">
      <formula1>"Замечания в подразделении и у КУГ отсутствуют,В подразделении 2 замечания у КУГ отсутствуют,В подразделении 3 и более замечаний или замечания у КУГ"</formula1>
    </dataValidation>
    <dataValidation type="list" allowBlank="1" showInputMessage="1" showErrorMessage="1" sqref="C24:C26">
      <formula1>"ПРО, ПРЕ, ГДП в подразделении и КУГ отсутствуют, ПРО, ПРЕ отсутствуют, имеются не снятые взыскания за ГДП в подразделении, у КУГ отсутствуют, Совершено ПРО, ПРЕ, ГДП в подразделении или КУГ или допущено сокрытие"</formula1>
    </dataValidation>
    <dataValidation type="list" allowBlank="1" showInputMessage="1" showErrorMessage="1" sqref="C27:C28">
      <formula1>"Дисциплинарная практика к подчиненному личному составу ведется,Дисциплинарная практика к подчиненному личному составу не реализуется или КУГ имеет дисциплинарные взыскания"</formula1>
    </dataValidation>
    <dataValidation type="list" allowBlank="1" showInputMessage="1" showErrorMessage="1" sqref="C29:C31">
      <formula1>"Обстановкой владеет, доклады представляет, книжка сержантов актуальна,Обстановкой владеет, доклады представляет, книжка сержантов не актуальна,Обстановкой не владеет, доклады не представляет, книжка сержантов не актуальна"</formula1>
    </dataValidation>
    <dataValidation type="list" allowBlank="1" showInputMessage="1" showErrorMessage="1" sqref="C32:C33">
      <formula1>"Подведение итогов актуально, поставлены конкретные задачи и проводится в установленное время,Подведение итогов не актуально, не поставлены задачи или не проводится"</formula1>
    </dataValidation>
    <dataValidation type="list" allowBlank="1" showInputMessage="1" showErrorMessage="1" sqref="C34:C35">
      <formula1>"Увольнения распределены равномерно,Увольнения распределяются не равномерно"</formula1>
    </dataValidation>
    <dataValidation type="list" allowBlank="1" showInputMessage="1" showErrorMessage="1" sqref="C36:C38">
      <formula1>"Наряды и уборщики распределены равномерно,Наряды распределены равномерно, уборщики не равномерно,Наряды и уборщики распределены не равномерно"</formula1>
    </dataValidation>
    <dataValidation type="list" allowBlank="1" showInputMessage="1" showErrorMessage="1" sqref="C39:C41">
      <formula1>"Замечания у подчиненного л/с отсутствуют, КУГ оценен не ниже «хорошо»,Выявлено не более 2 замечаний у подчиненного л/с, КУГ оценен не ниже «хорошо»,Л/с отстранен или выявлено более 2 замечаний, КУГ оценен ниже «хорошо»,"</formula1>
    </dataValidation>
    <dataValidation type="list" allowBlank="1" showInputMessage="1" showErrorMessage="1" sqref="C42:C43">
      <formula1>"Нарушений ТБ, приведших к травматизму л/с нет,Есть нарушения ТБ, приведших к травматизму л/с"</formula1>
    </dataValidation>
    <dataValidation type="list" allowBlank="1" showInputMessage="1" showErrorMessage="1" sqref="C44:C46">
      <formula1>"Элементы распорядка дня соблюдаются,Не более пяти нарушений распорядка дня, срывов мероприятий не допущено,Более пяти нарушений элементов распорядка дня или мероприятие сорвано"</formula1>
    </dataValidation>
    <dataValidation type="list" allowBlank="1" showInputMessage="1" showErrorMessage="1" sqref="C47:C48">
      <formula1>"Материальные средства подразделения в наличии, исправны, обслужены, хранятся правильно,Не выполнены предъявляемые критерии "</formula1>
    </dataValidation>
    <dataValidation type="list" allowBlank="1" showInputMessage="1" showErrorMessage="1" sqref="C49:C50">
      <formula1>"Оценка по физической подготовке (культуре) - 5,Оценка по физической подготовке (культуре) - 4"</formula1>
    </dataValidation>
    <dataValidation type="list" allowBlank="1" showInputMessage="1" showErrorMessage="1" sqref="C18:C20">
      <formula1>$L$18:$L$20</formula1>
    </dataValidation>
  </dataValidation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92D050"/>
  </sheetPr>
  <dimension ref="A1:U46"/>
  <sheetViews>
    <sheetView zoomScale="115" zoomScaleNormal="115" workbookViewId="0">
      <selection activeCell="A3" sqref="A3:E3"/>
    </sheetView>
  </sheetViews>
  <sheetFormatPr defaultRowHeight="15"/>
  <cols>
    <col min="2" max="2" width="26" customWidth="1"/>
    <col min="3" max="3" width="58.5703125" customWidth="1"/>
    <col min="4" max="4" width="28.42578125" customWidth="1"/>
    <col min="5" max="5" width="24.140625" hidden="1" customWidth="1"/>
    <col min="6" max="6" width="24" hidden="1" customWidth="1"/>
    <col min="7" max="7" width="1.85546875" hidden="1" customWidth="1"/>
    <col min="8" max="8" width="18.42578125" customWidth="1"/>
  </cols>
  <sheetData>
    <row r="1" spans="1:21" ht="20.25">
      <c r="A1" s="56" t="s">
        <v>0</v>
      </c>
      <c r="B1" s="56"/>
      <c r="C1" s="56"/>
      <c r="D1" s="56"/>
      <c r="E1" s="56"/>
    </row>
    <row r="2" spans="1:21" ht="18.75">
      <c r="A2" s="57" t="s">
        <v>1</v>
      </c>
      <c r="B2" s="57"/>
      <c r="C2" s="57"/>
      <c r="D2" s="57"/>
      <c r="E2" s="57"/>
    </row>
    <row r="3" spans="1:21" ht="18.75" customHeight="1">
      <c r="A3" s="58" t="s">
        <v>324</v>
      </c>
      <c r="B3" s="57"/>
      <c r="C3" s="57"/>
      <c r="D3" s="57"/>
      <c r="E3" s="57"/>
    </row>
    <row r="4" spans="1:21" ht="16.5" thickBot="1">
      <c r="A4" s="59"/>
      <c r="B4" s="59"/>
      <c r="C4" s="59"/>
      <c r="D4" s="59"/>
      <c r="E4" s="59"/>
    </row>
    <row r="5" spans="1:21" ht="15.75">
      <c r="A5" s="2" t="s">
        <v>3</v>
      </c>
      <c r="B5" s="60" t="s">
        <v>54</v>
      </c>
      <c r="C5" s="60" t="s">
        <v>55</v>
      </c>
      <c r="D5" s="60" t="s">
        <v>42</v>
      </c>
    </row>
    <row r="6" spans="1:21" ht="16.5" thickBot="1">
      <c r="A6" s="4" t="s">
        <v>4</v>
      </c>
      <c r="B6" s="61"/>
      <c r="C6" s="61"/>
      <c r="D6" s="61"/>
    </row>
    <row r="7" spans="1:21" ht="13.5" customHeight="1">
      <c r="A7" s="39" t="s">
        <v>5</v>
      </c>
      <c r="B7" s="44" t="s">
        <v>6</v>
      </c>
      <c r="C7" s="44" t="s">
        <v>83</v>
      </c>
      <c r="D7" s="44">
        <f>IF(IFERROR(SEARCH("подразделения ≥ 4,5", C7), 0) &gt; 0, 5, IF(IFERROR(SEARCH("подразделения ≥ 4,0", C7), 0) &gt; 0, 3, IF(IFERROR(SEARCH("&lt;", C7), 0) &gt; 0, 0,)))</f>
        <v>3</v>
      </c>
      <c r="F7">
        <v>5</v>
      </c>
      <c r="G7" s="16" t="s">
        <v>82</v>
      </c>
      <c r="N7" s="15"/>
      <c r="U7" s="15"/>
    </row>
    <row r="8" spans="1:21" ht="20.25" customHeight="1">
      <c r="A8" s="51"/>
      <c r="B8" s="54"/>
      <c r="C8" s="52"/>
      <c r="D8" s="52"/>
      <c r="F8">
        <v>3</v>
      </c>
      <c r="G8" s="17" t="s">
        <v>83</v>
      </c>
      <c r="N8" s="13"/>
      <c r="U8" s="13"/>
    </row>
    <row r="9" spans="1:21" ht="18" customHeight="1" thickBot="1">
      <c r="A9" s="40"/>
      <c r="B9" s="55"/>
      <c r="C9" s="45"/>
      <c r="D9" s="45"/>
      <c r="F9">
        <v>0</v>
      </c>
      <c r="G9" s="18" t="s">
        <v>84</v>
      </c>
    </row>
    <row r="10" spans="1:21">
      <c r="A10" s="39" t="s">
        <v>7</v>
      </c>
      <c r="B10" s="44" t="s">
        <v>8</v>
      </c>
      <c r="C10" s="44" t="s">
        <v>85</v>
      </c>
      <c r="D10" s="44">
        <f>IF(IFERROR(SEARCH("отсутствуют", C10), 0) &gt; 0, 10, IF(IFERROR(SEARCH("имеются", C10), 0) &gt; 0, 0, ))</f>
        <v>10</v>
      </c>
      <c r="F10">
        <v>10</v>
      </c>
      <c r="G10" t="s">
        <v>85</v>
      </c>
    </row>
    <row r="11" spans="1:21" ht="24.75" customHeight="1" thickBot="1">
      <c r="A11" s="40"/>
      <c r="B11" s="45"/>
      <c r="C11" s="45"/>
      <c r="D11" s="45"/>
      <c r="F11">
        <v>0</v>
      </c>
      <c r="G11" s="13" t="s">
        <v>86</v>
      </c>
    </row>
    <row r="12" spans="1:21" ht="18" customHeight="1" thickBot="1">
      <c r="A12" s="39" t="s">
        <v>9</v>
      </c>
      <c r="B12" s="44" t="s">
        <v>10</v>
      </c>
      <c r="C12" s="44" t="s">
        <v>87</v>
      </c>
      <c r="D12" s="44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>5</v>
      </c>
      <c r="F12">
        <v>5</v>
      </c>
      <c r="G12" s="14" t="s">
        <v>87</v>
      </c>
    </row>
    <row r="13" spans="1:21" ht="15.75">
      <c r="A13" s="51"/>
      <c r="B13" s="52"/>
      <c r="C13" s="52"/>
      <c r="D13" s="52"/>
      <c r="F13">
        <v>3</v>
      </c>
      <c r="G13" s="13" t="s">
        <v>88</v>
      </c>
    </row>
    <row r="14" spans="1:21" ht="16.5" thickBot="1">
      <c r="A14" s="40"/>
      <c r="B14" s="45"/>
      <c r="C14" s="45"/>
      <c r="D14" s="45"/>
      <c r="F14">
        <v>0</v>
      </c>
      <c r="G14" s="13" t="s">
        <v>89</v>
      </c>
    </row>
    <row r="15" spans="1:21" ht="15.75">
      <c r="A15" s="39" t="s">
        <v>11</v>
      </c>
      <c r="B15" s="44" t="s">
        <v>12</v>
      </c>
      <c r="C15" s="41" t="s">
        <v>91</v>
      </c>
      <c r="D15" s="44">
        <f>IF(IFERROR(SEARCH("Отсутствуют", C15), 0) &gt; 0, 5, IF(IFERROR(SEARCH("Наличие одного", C15), 0) &gt; 0, 3, IF(IFERROR(SEARCH("Наличие двух", C15), 0) &gt; 0, 0,)))</f>
        <v>3</v>
      </c>
      <c r="F15">
        <v>5</v>
      </c>
      <c r="G15" s="19" t="s">
        <v>90</v>
      </c>
    </row>
    <row r="16" spans="1:21" ht="15.75">
      <c r="A16" s="51"/>
      <c r="B16" s="52"/>
      <c r="C16" s="53"/>
      <c r="D16" s="52"/>
      <c r="F16">
        <v>3</v>
      </c>
      <c r="G16" s="13" t="s">
        <v>91</v>
      </c>
    </row>
    <row r="17" spans="1:7" ht="92.25" customHeight="1" thickBot="1">
      <c r="A17" s="40"/>
      <c r="B17" s="45"/>
      <c r="C17" s="43"/>
      <c r="D17" s="45"/>
      <c r="F17">
        <v>0</v>
      </c>
      <c r="G17" s="13" t="s">
        <v>92</v>
      </c>
    </row>
    <row r="18" spans="1:7" ht="15" customHeight="1" thickBot="1">
      <c r="A18" s="39" t="s">
        <v>13</v>
      </c>
      <c r="B18" s="44" t="s">
        <v>14</v>
      </c>
      <c r="C18" s="41" t="s">
        <v>93</v>
      </c>
      <c r="D18" s="44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>10</v>
      </c>
      <c r="F18">
        <v>10</v>
      </c>
      <c r="G18" s="13" t="s">
        <v>93</v>
      </c>
    </row>
    <row r="19" spans="1:7" ht="15" customHeight="1" thickBot="1">
      <c r="A19" s="51"/>
      <c r="B19" s="52"/>
      <c r="C19" s="53"/>
      <c r="D19" s="52"/>
      <c r="F19">
        <v>2</v>
      </c>
      <c r="G19" s="14" t="s">
        <v>94</v>
      </c>
    </row>
    <row r="20" spans="1:7" ht="57" customHeight="1" thickBot="1">
      <c r="A20" s="40"/>
      <c r="B20" s="45"/>
      <c r="C20" s="43"/>
      <c r="D20" s="45"/>
      <c r="F20">
        <v>0</v>
      </c>
      <c r="G20" s="13" t="s">
        <v>95</v>
      </c>
    </row>
    <row r="21" spans="1:7" ht="15.75">
      <c r="A21" s="39" t="s">
        <v>15</v>
      </c>
      <c r="B21" s="44" t="s">
        <v>16</v>
      </c>
      <c r="C21" s="41" t="s">
        <v>96</v>
      </c>
      <c r="D21" s="44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>5</v>
      </c>
      <c r="F21">
        <v>5</v>
      </c>
      <c r="G21" s="13" t="s">
        <v>96</v>
      </c>
    </row>
    <row r="22" spans="1:7" ht="42.75" customHeight="1" thickBot="1">
      <c r="A22" s="40"/>
      <c r="B22" s="45"/>
      <c r="C22" s="43"/>
      <c r="D22" s="45"/>
      <c r="F22">
        <v>0</v>
      </c>
      <c r="G22" s="13" t="s">
        <v>97</v>
      </c>
    </row>
    <row r="23" spans="1:7" ht="15.75">
      <c r="A23" s="39" t="s">
        <v>17</v>
      </c>
      <c r="B23" s="44" t="s">
        <v>18</v>
      </c>
      <c r="C23" s="41" t="s">
        <v>19</v>
      </c>
      <c r="D23" s="44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>10</v>
      </c>
      <c r="F23">
        <v>10</v>
      </c>
      <c r="G23" s="13" t="s">
        <v>19</v>
      </c>
    </row>
    <row r="24" spans="1:7" ht="15.75">
      <c r="A24" s="51"/>
      <c r="B24" s="52"/>
      <c r="C24" s="53"/>
      <c r="D24" s="52"/>
      <c r="F24">
        <v>5</v>
      </c>
      <c r="G24" s="13" t="s">
        <v>98</v>
      </c>
    </row>
    <row r="25" spans="1:7" ht="82.5" customHeight="1" thickBot="1">
      <c r="A25" s="40"/>
      <c r="B25" s="45"/>
      <c r="C25" s="43"/>
      <c r="D25" s="45"/>
      <c r="F25">
        <v>0</v>
      </c>
      <c r="G25" s="13" t="s">
        <v>99</v>
      </c>
    </row>
    <row r="26" spans="1:7" ht="15.75">
      <c r="A26" s="39" t="s">
        <v>20</v>
      </c>
      <c r="B26" s="44" t="s">
        <v>21</v>
      </c>
      <c r="C26" s="41" t="s">
        <v>22</v>
      </c>
      <c r="D26" s="44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>3</v>
      </c>
      <c r="F26">
        <v>3</v>
      </c>
      <c r="G26" s="13" t="s">
        <v>22</v>
      </c>
    </row>
    <row r="27" spans="1:7" ht="41.25" customHeight="1" thickBot="1">
      <c r="A27" s="40"/>
      <c r="B27" s="45"/>
      <c r="C27" s="43"/>
      <c r="D27" s="45"/>
      <c r="F27">
        <v>0</v>
      </c>
      <c r="G27" s="13" t="s">
        <v>100</v>
      </c>
    </row>
    <row r="28" spans="1:7" ht="15.75">
      <c r="A28" s="39" t="s">
        <v>23</v>
      </c>
      <c r="B28" s="44" t="s">
        <v>24</v>
      </c>
      <c r="C28" s="41" t="s">
        <v>101</v>
      </c>
      <c r="D28" s="44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>5</v>
      </c>
      <c r="F28">
        <v>5</v>
      </c>
      <c r="G28" s="13" t="s">
        <v>101</v>
      </c>
    </row>
    <row r="29" spans="1:7" ht="15.75">
      <c r="A29" s="51"/>
      <c r="B29" s="52"/>
      <c r="C29" s="53"/>
      <c r="D29" s="52"/>
      <c r="F29">
        <v>3</v>
      </c>
      <c r="G29" s="13" t="s">
        <v>102</v>
      </c>
    </row>
    <row r="30" spans="1:7" ht="61.5" customHeight="1" thickBot="1">
      <c r="A30" s="40"/>
      <c r="B30" s="45"/>
      <c r="C30" s="43"/>
      <c r="D30" s="45"/>
      <c r="F30">
        <v>0</v>
      </c>
      <c r="G30" s="13" t="s">
        <v>103</v>
      </c>
    </row>
    <row r="31" spans="1:7" ht="15.75">
      <c r="A31" s="39" t="s">
        <v>25</v>
      </c>
      <c r="B31" s="44" t="s">
        <v>26</v>
      </c>
      <c r="C31" s="41" t="s">
        <v>104</v>
      </c>
      <c r="D31" s="44">
        <f>IF(IFERROR(SEARCH("Отсутствуют нарушения ТБ", C31), 0) &gt; 0, 10, IF(IFERROR(SEARCH("Имелись нарушения ТБ", C31), 0) &gt; 0, 0, ))</f>
        <v>10</v>
      </c>
      <c r="F31">
        <v>10</v>
      </c>
      <c r="G31" s="13" t="s">
        <v>104</v>
      </c>
    </row>
    <row r="32" spans="1:7" ht="33.75" customHeight="1" thickBot="1">
      <c r="A32" s="40"/>
      <c r="B32" s="45"/>
      <c r="C32" s="43"/>
      <c r="D32" s="45"/>
      <c r="F32">
        <v>0</v>
      </c>
      <c r="G32" s="13" t="s">
        <v>105</v>
      </c>
    </row>
    <row r="33" spans="1:7" ht="15.75">
      <c r="A33" s="39" t="s">
        <v>27</v>
      </c>
      <c r="B33" s="44" t="s">
        <v>28</v>
      </c>
      <c r="C33" s="41" t="s">
        <v>52</v>
      </c>
      <c r="D33" s="44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>10</v>
      </c>
      <c r="F33">
        <v>10</v>
      </c>
      <c r="G33" s="13" t="s">
        <v>52</v>
      </c>
    </row>
    <row r="34" spans="1:7" ht="15.75">
      <c r="A34" s="51"/>
      <c r="B34" s="52"/>
      <c r="C34" s="53"/>
      <c r="D34" s="52"/>
      <c r="F34">
        <v>5</v>
      </c>
      <c r="G34" s="13" t="s">
        <v>106</v>
      </c>
    </row>
    <row r="35" spans="1:7" ht="18" customHeight="1" thickBot="1">
      <c r="A35" s="40"/>
      <c r="B35" s="45"/>
      <c r="C35" s="43"/>
      <c r="D35" s="45"/>
      <c r="F35">
        <v>0</v>
      </c>
      <c r="G35" s="13" t="s">
        <v>107</v>
      </c>
    </row>
    <row r="36" spans="1:7" ht="15.75">
      <c r="A36" s="39" t="s">
        <v>29</v>
      </c>
      <c r="B36" s="44" t="s">
        <v>30</v>
      </c>
      <c r="C36" s="41" t="s">
        <v>31</v>
      </c>
      <c r="D36" s="44">
        <f>IF(IFERROR(SEARCH("Материальные средства ", C36), 0) &gt; 0, 5, IF(IFERROR(SEARCH("Не выполнены ", C36), 0) &gt; 0, 0, ))</f>
        <v>5</v>
      </c>
      <c r="F36">
        <v>5</v>
      </c>
      <c r="G36" s="13" t="s">
        <v>31</v>
      </c>
    </row>
    <row r="37" spans="1:7" ht="45" customHeight="1" thickBot="1">
      <c r="A37" s="40"/>
      <c r="B37" s="45"/>
      <c r="C37" s="43"/>
      <c r="D37" s="45"/>
      <c r="F37">
        <v>0</v>
      </c>
      <c r="G37" s="13" t="s">
        <v>110</v>
      </c>
    </row>
    <row r="38" spans="1:7" ht="15.75">
      <c r="A38" s="39" t="s">
        <v>32</v>
      </c>
      <c r="B38" s="44" t="s">
        <v>33</v>
      </c>
      <c r="C38" s="41" t="s">
        <v>108</v>
      </c>
      <c r="D38" s="44">
        <f>IF(IFERROR(SEARCH("5", C38), 0) &gt; 0, 2, IF(IFERROR(SEARCH("4", C38), 0) &gt; 0, 1, ))</f>
        <v>2</v>
      </c>
      <c r="F38">
        <v>2</v>
      </c>
      <c r="G38" s="13" t="s">
        <v>108</v>
      </c>
    </row>
    <row r="39" spans="1:7" ht="103.5" customHeight="1" thickBot="1">
      <c r="A39" s="40"/>
      <c r="B39" s="45"/>
      <c r="C39" s="43"/>
      <c r="D39" s="45"/>
      <c r="F39">
        <v>1</v>
      </c>
      <c r="G39" s="13" t="s">
        <v>109</v>
      </c>
    </row>
    <row r="40" spans="1:7">
      <c r="A40" s="46" t="s">
        <v>34</v>
      </c>
      <c r="B40" s="47"/>
      <c r="C40" s="66"/>
      <c r="D40" s="68">
        <f>SUM(D7:D39)</f>
        <v>81</v>
      </c>
      <c r="E40" s="65"/>
    </row>
    <row r="41" spans="1:7" ht="15.75" thickBot="1">
      <c r="A41" s="48"/>
      <c r="B41" s="49"/>
      <c r="C41" s="67"/>
      <c r="D41" s="69"/>
      <c r="E41" s="65"/>
    </row>
    <row r="43" spans="1:7" ht="20.25">
      <c r="A43" s="37" t="s">
        <v>35</v>
      </c>
      <c r="B43" s="37"/>
      <c r="C43" s="37"/>
      <c r="D43" s="5"/>
      <c r="E43" s="5"/>
    </row>
    <row r="44" spans="1:7" ht="20.25">
      <c r="A44" s="37"/>
      <c r="B44" s="37"/>
      <c r="C44" s="37"/>
      <c r="D44" s="6"/>
      <c r="E44" s="6"/>
    </row>
    <row r="45" spans="1:7" ht="20.25">
      <c r="A45" s="5"/>
      <c r="B45" s="5"/>
      <c r="C45" s="5" t="s">
        <v>36</v>
      </c>
      <c r="D45" s="5"/>
      <c r="E45" s="5"/>
    </row>
    <row r="46" spans="1:7" ht="20.25">
      <c r="A46" s="5"/>
      <c r="B46" s="5"/>
      <c r="C46" s="5" t="s">
        <v>320</v>
      </c>
    </row>
  </sheetData>
  <mergeCells count="63">
    <mergeCell ref="A1:E1"/>
    <mergeCell ref="A2:E2"/>
    <mergeCell ref="A3:E3"/>
    <mergeCell ref="A4:E4"/>
    <mergeCell ref="B5:B6"/>
    <mergeCell ref="C5:C6"/>
    <mergeCell ref="D5:D6"/>
    <mergeCell ref="A7:A9"/>
    <mergeCell ref="B7:B9"/>
    <mergeCell ref="C7:C9"/>
    <mergeCell ref="D7:D9"/>
    <mergeCell ref="A10:A11"/>
    <mergeCell ref="B10:B11"/>
    <mergeCell ref="C10:C11"/>
    <mergeCell ref="D10:D11"/>
    <mergeCell ref="A12:A14"/>
    <mergeCell ref="B12:B14"/>
    <mergeCell ref="C12:C14"/>
    <mergeCell ref="D12:D14"/>
    <mergeCell ref="A15:A17"/>
    <mergeCell ref="B15:B17"/>
    <mergeCell ref="C15:C17"/>
    <mergeCell ref="D15:D17"/>
    <mergeCell ref="A18:A20"/>
    <mergeCell ref="B18:B20"/>
    <mergeCell ref="C18:C20"/>
    <mergeCell ref="D18:D20"/>
    <mergeCell ref="A21:A22"/>
    <mergeCell ref="B21:B22"/>
    <mergeCell ref="C21:C22"/>
    <mergeCell ref="D21:D22"/>
    <mergeCell ref="A23:A25"/>
    <mergeCell ref="B23:B25"/>
    <mergeCell ref="C23:C25"/>
    <mergeCell ref="D23:D25"/>
    <mergeCell ref="A26:A27"/>
    <mergeCell ref="B26:B27"/>
    <mergeCell ref="C26:C27"/>
    <mergeCell ref="D26:D27"/>
    <mergeCell ref="A28:A30"/>
    <mergeCell ref="B28:B30"/>
    <mergeCell ref="C28:C30"/>
    <mergeCell ref="D28:D30"/>
    <mergeCell ref="A31:A32"/>
    <mergeCell ref="B31:B32"/>
    <mergeCell ref="C31:C32"/>
    <mergeCell ref="D31:D32"/>
    <mergeCell ref="A33:A35"/>
    <mergeCell ref="B33:B35"/>
    <mergeCell ref="C33:C35"/>
    <mergeCell ref="D33:D35"/>
    <mergeCell ref="A36:A37"/>
    <mergeCell ref="B36:B37"/>
    <mergeCell ref="C36:C37"/>
    <mergeCell ref="D36:D37"/>
    <mergeCell ref="E40:E41"/>
    <mergeCell ref="A43:C44"/>
    <mergeCell ref="A38:A39"/>
    <mergeCell ref="B38:B39"/>
    <mergeCell ref="C38:C39"/>
    <mergeCell ref="D38:D39"/>
    <mergeCell ref="A40:C41"/>
    <mergeCell ref="D40:D41"/>
  </mergeCells>
  <dataValidations count="13">
    <dataValidation type="list" allowBlank="1" showInputMessage="1" showErrorMessage="1" sqref="C7:C9">
      <formula1>$G$7:$G$9</formula1>
    </dataValidation>
    <dataValidation type="list" allowBlank="1" showInputMessage="1" showErrorMessage="1" sqref="C10:C11">
      <formula1>$G$10:$G$11</formula1>
    </dataValidation>
    <dataValidation type="list" allowBlank="1" showInputMessage="1" showErrorMessage="1" sqref="C12:C14">
      <formula1>$G$12:$G$14</formula1>
    </dataValidation>
    <dataValidation type="list" allowBlank="1" showInputMessage="1" showErrorMessage="1" sqref="C15:C17">
      <formula1>$G$15:$G$17</formula1>
    </dataValidation>
    <dataValidation type="list" allowBlank="1" showInputMessage="1" showErrorMessage="1" sqref="C18:C20">
      <formula1>$G$18:$G$20</formula1>
    </dataValidation>
    <dataValidation type="list" allowBlank="1" showInputMessage="1" showErrorMessage="1" sqref="C21:C22">
      <formula1>$G$21:$G$22</formula1>
    </dataValidation>
    <dataValidation type="list" allowBlank="1" showInputMessage="1" showErrorMessage="1" sqref="C23:C25">
      <formula1>$G$23:$G$25</formula1>
    </dataValidation>
    <dataValidation type="list" allowBlank="1" showInputMessage="1" showErrorMessage="1" sqref="C26:C27">
      <formula1>$G$26:$G$27</formula1>
    </dataValidation>
    <dataValidation type="list" allowBlank="1" showInputMessage="1" showErrorMessage="1" sqref="C28:C30">
      <formula1>$G$28:$G$30</formula1>
    </dataValidation>
    <dataValidation type="list" allowBlank="1" showInputMessage="1" showErrorMessage="1" sqref="C31:C32">
      <formula1>$G$31:$G$32</formula1>
    </dataValidation>
    <dataValidation type="list" allowBlank="1" showInputMessage="1" showErrorMessage="1" sqref="C33:C35">
      <formula1>$G$33:$G$35</formula1>
    </dataValidation>
    <dataValidation type="list" allowBlank="1" showInputMessage="1" showErrorMessage="1" sqref="C36:C37">
      <formula1>$G$36:$G$37</formula1>
    </dataValidation>
    <dataValidation type="list" allowBlank="1" showInputMessage="1" showErrorMessage="1" sqref="C38:C39">
      <formula1>$G$38:$G$39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92D050"/>
  </sheetPr>
  <dimension ref="A1:U46"/>
  <sheetViews>
    <sheetView zoomScale="115" zoomScaleNormal="115" workbookViewId="0">
      <selection activeCell="A3" sqref="A3:E3"/>
    </sheetView>
  </sheetViews>
  <sheetFormatPr defaultRowHeight="15"/>
  <cols>
    <col min="2" max="2" width="26" customWidth="1"/>
    <col min="3" max="3" width="58.5703125" customWidth="1"/>
    <col min="4" max="4" width="28.42578125" customWidth="1"/>
    <col min="5" max="5" width="24.140625" hidden="1" customWidth="1"/>
    <col min="6" max="6" width="24" hidden="1" customWidth="1"/>
    <col min="7" max="7" width="1.85546875" hidden="1" customWidth="1"/>
    <col min="8" max="8" width="18.42578125" customWidth="1"/>
  </cols>
  <sheetData>
    <row r="1" spans="1:21" ht="20.25">
      <c r="A1" s="56" t="s">
        <v>0</v>
      </c>
      <c r="B1" s="56"/>
      <c r="C1" s="56"/>
      <c r="D1" s="56"/>
      <c r="E1" s="56"/>
    </row>
    <row r="2" spans="1:21" ht="18.75">
      <c r="A2" s="57" t="s">
        <v>1</v>
      </c>
      <c r="B2" s="57"/>
      <c r="C2" s="57"/>
      <c r="D2" s="57"/>
      <c r="E2" s="57"/>
    </row>
    <row r="3" spans="1:21" ht="18.75" customHeight="1">
      <c r="A3" s="58" t="s">
        <v>323</v>
      </c>
      <c r="B3" s="57"/>
      <c r="C3" s="57"/>
      <c r="D3" s="57"/>
      <c r="E3" s="57"/>
    </row>
    <row r="4" spans="1:21" ht="16.5" thickBot="1">
      <c r="A4" s="59"/>
      <c r="B4" s="59"/>
      <c r="C4" s="59"/>
      <c r="D4" s="59"/>
      <c r="E4" s="59"/>
    </row>
    <row r="5" spans="1:21" ht="15.75">
      <c r="A5" s="2" t="s">
        <v>3</v>
      </c>
      <c r="B5" s="60" t="s">
        <v>54</v>
      </c>
      <c r="C5" s="60" t="s">
        <v>55</v>
      </c>
      <c r="D5" s="60" t="s">
        <v>42</v>
      </c>
    </row>
    <row r="6" spans="1:21" ht="16.5" thickBot="1">
      <c r="A6" s="4" t="s">
        <v>4</v>
      </c>
      <c r="B6" s="61"/>
      <c r="C6" s="61"/>
      <c r="D6" s="61"/>
    </row>
    <row r="7" spans="1:21" ht="13.5" customHeight="1">
      <c r="A7" s="39" t="s">
        <v>5</v>
      </c>
      <c r="B7" s="44" t="s">
        <v>6</v>
      </c>
      <c r="C7" s="44" t="s">
        <v>83</v>
      </c>
      <c r="D7" s="44">
        <f>IF(IFERROR(SEARCH("подразделения ≥ 4,5", C7), 0) &gt; 0, 5, IF(IFERROR(SEARCH("подразделения ≥ 4,0", C7), 0) &gt; 0, 3, IF(IFERROR(SEARCH("&lt;", C7), 0) &gt; 0, 0,)))</f>
        <v>3</v>
      </c>
      <c r="F7">
        <v>5</v>
      </c>
      <c r="G7" s="16" t="s">
        <v>82</v>
      </c>
      <c r="N7" s="15"/>
      <c r="U7" s="15"/>
    </row>
    <row r="8" spans="1:21" ht="20.25" customHeight="1">
      <c r="A8" s="51"/>
      <c r="B8" s="54"/>
      <c r="C8" s="52"/>
      <c r="D8" s="52"/>
      <c r="F8">
        <v>3</v>
      </c>
      <c r="G8" s="17" t="s">
        <v>83</v>
      </c>
      <c r="N8" s="13"/>
      <c r="U8" s="13"/>
    </row>
    <row r="9" spans="1:21" ht="18" customHeight="1" thickBot="1">
      <c r="A9" s="40"/>
      <c r="B9" s="55"/>
      <c r="C9" s="45"/>
      <c r="D9" s="45"/>
      <c r="F9">
        <v>0</v>
      </c>
      <c r="G9" s="18" t="s">
        <v>84</v>
      </c>
    </row>
    <row r="10" spans="1:21">
      <c r="A10" s="39" t="s">
        <v>7</v>
      </c>
      <c r="B10" s="44" t="s">
        <v>8</v>
      </c>
      <c r="C10" s="44" t="s">
        <v>85</v>
      </c>
      <c r="D10" s="44">
        <f>IF(IFERROR(SEARCH("отсутствуют", C10), 0) &gt; 0, 10, IF(IFERROR(SEARCH("имеются", C10), 0) &gt; 0, 0, ))</f>
        <v>10</v>
      </c>
      <c r="F10">
        <v>10</v>
      </c>
      <c r="G10" t="s">
        <v>85</v>
      </c>
    </row>
    <row r="11" spans="1:21" ht="24.75" customHeight="1" thickBot="1">
      <c r="A11" s="40"/>
      <c r="B11" s="45"/>
      <c r="C11" s="45"/>
      <c r="D11" s="45"/>
      <c r="F11">
        <v>0</v>
      </c>
      <c r="G11" s="13" t="s">
        <v>86</v>
      </c>
    </row>
    <row r="12" spans="1:21" ht="18" customHeight="1" thickBot="1">
      <c r="A12" s="39" t="s">
        <v>9</v>
      </c>
      <c r="B12" s="44" t="s">
        <v>10</v>
      </c>
      <c r="C12" s="44" t="s">
        <v>87</v>
      </c>
      <c r="D12" s="44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>5</v>
      </c>
      <c r="F12">
        <v>5</v>
      </c>
      <c r="G12" s="14" t="s">
        <v>87</v>
      </c>
    </row>
    <row r="13" spans="1:21" ht="15.75">
      <c r="A13" s="51"/>
      <c r="B13" s="52"/>
      <c r="C13" s="52"/>
      <c r="D13" s="52"/>
      <c r="F13">
        <v>3</v>
      </c>
      <c r="G13" s="13" t="s">
        <v>88</v>
      </c>
    </row>
    <row r="14" spans="1:21" ht="16.5" thickBot="1">
      <c r="A14" s="40"/>
      <c r="B14" s="45"/>
      <c r="C14" s="45"/>
      <c r="D14" s="45"/>
      <c r="F14">
        <v>0</v>
      </c>
      <c r="G14" s="13" t="s">
        <v>89</v>
      </c>
    </row>
    <row r="15" spans="1:21" ht="15.75">
      <c r="A15" s="39" t="s">
        <v>11</v>
      </c>
      <c r="B15" s="44" t="s">
        <v>12</v>
      </c>
      <c r="C15" s="41" t="s">
        <v>91</v>
      </c>
      <c r="D15" s="44">
        <f>IF(IFERROR(SEARCH("Отсутствуют", C15), 0) &gt; 0, 5, IF(IFERROR(SEARCH("Наличие одного", C15), 0) &gt; 0, 3, IF(IFERROR(SEARCH("Наличие двух", C15), 0) &gt; 0, 0,)))</f>
        <v>3</v>
      </c>
      <c r="F15">
        <v>5</v>
      </c>
      <c r="G15" s="19" t="s">
        <v>90</v>
      </c>
    </row>
    <row r="16" spans="1:21" ht="15.75">
      <c r="A16" s="51"/>
      <c r="B16" s="52"/>
      <c r="C16" s="53"/>
      <c r="D16" s="52"/>
      <c r="F16">
        <v>3</v>
      </c>
      <c r="G16" s="13" t="s">
        <v>91</v>
      </c>
    </row>
    <row r="17" spans="1:7" ht="92.25" customHeight="1" thickBot="1">
      <c r="A17" s="40"/>
      <c r="B17" s="45"/>
      <c r="C17" s="43"/>
      <c r="D17" s="45"/>
      <c r="F17">
        <v>0</v>
      </c>
      <c r="G17" s="13" t="s">
        <v>92</v>
      </c>
    </row>
    <row r="18" spans="1:7" ht="15" customHeight="1" thickBot="1">
      <c r="A18" s="39" t="s">
        <v>13</v>
      </c>
      <c r="B18" s="44" t="s">
        <v>14</v>
      </c>
      <c r="C18" s="41" t="s">
        <v>93</v>
      </c>
      <c r="D18" s="44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>10</v>
      </c>
      <c r="F18">
        <v>10</v>
      </c>
      <c r="G18" s="13" t="s">
        <v>93</v>
      </c>
    </row>
    <row r="19" spans="1:7" ht="15" customHeight="1" thickBot="1">
      <c r="A19" s="51"/>
      <c r="B19" s="52"/>
      <c r="C19" s="53"/>
      <c r="D19" s="52"/>
      <c r="F19">
        <v>2</v>
      </c>
      <c r="G19" s="14" t="s">
        <v>94</v>
      </c>
    </row>
    <row r="20" spans="1:7" ht="57" customHeight="1" thickBot="1">
      <c r="A20" s="40"/>
      <c r="B20" s="45"/>
      <c r="C20" s="43"/>
      <c r="D20" s="45"/>
      <c r="F20">
        <v>0</v>
      </c>
      <c r="G20" s="13" t="s">
        <v>95</v>
      </c>
    </row>
    <row r="21" spans="1:7" ht="15.75">
      <c r="A21" s="39" t="s">
        <v>15</v>
      </c>
      <c r="B21" s="44" t="s">
        <v>16</v>
      </c>
      <c r="C21" s="41" t="s">
        <v>96</v>
      </c>
      <c r="D21" s="44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>5</v>
      </c>
      <c r="F21">
        <v>5</v>
      </c>
      <c r="G21" s="13" t="s">
        <v>96</v>
      </c>
    </row>
    <row r="22" spans="1:7" ht="42.75" customHeight="1" thickBot="1">
      <c r="A22" s="40"/>
      <c r="B22" s="45"/>
      <c r="C22" s="43"/>
      <c r="D22" s="45"/>
      <c r="F22">
        <v>0</v>
      </c>
      <c r="G22" s="13" t="s">
        <v>97</v>
      </c>
    </row>
    <row r="23" spans="1:7" ht="15.75">
      <c r="A23" s="39" t="s">
        <v>17</v>
      </c>
      <c r="B23" s="44" t="s">
        <v>18</v>
      </c>
      <c r="C23" s="41" t="s">
        <v>19</v>
      </c>
      <c r="D23" s="44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>10</v>
      </c>
      <c r="F23">
        <v>10</v>
      </c>
      <c r="G23" s="13" t="s">
        <v>19</v>
      </c>
    </row>
    <row r="24" spans="1:7" ht="15.75">
      <c r="A24" s="51"/>
      <c r="B24" s="52"/>
      <c r="C24" s="53"/>
      <c r="D24" s="52"/>
      <c r="F24">
        <v>5</v>
      </c>
      <c r="G24" s="13" t="s">
        <v>98</v>
      </c>
    </row>
    <row r="25" spans="1:7" ht="82.5" customHeight="1" thickBot="1">
      <c r="A25" s="40"/>
      <c r="B25" s="45"/>
      <c r="C25" s="43"/>
      <c r="D25" s="45"/>
      <c r="F25">
        <v>0</v>
      </c>
      <c r="G25" s="13" t="s">
        <v>99</v>
      </c>
    </row>
    <row r="26" spans="1:7" ht="15.75">
      <c r="A26" s="39" t="s">
        <v>20</v>
      </c>
      <c r="B26" s="44" t="s">
        <v>21</v>
      </c>
      <c r="C26" s="41" t="s">
        <v>22</v>
      </c>
      <c r="D26" s="44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>3</v>
      </c>
      <c r="F26">
        <v>3</v>
      </c>
      <c r="G26" s="13" t="s">
        <v>22</v>
      </c>
    </row>
    <row r="27" spans="1:7" ht="41.25" customHeight="1" thickBot="1">
      <c r="A27" s="40"/>
      <c r="B27" s="45"/>
      <c r="C27" s="43"/>
      <c r="D27" s="45"/>
      <c r="F27">
        <v>0</v>
      </c>
      <c r="G27" s="13" t="s">
        <v>100</v>
      </c>
    </row>
    <row r="28" spans="1:7" ht="15.75">
      <c r="A28" s="39" t="s">
        <v>23</v>
      </c>
      <c r="B28" s="44" t="s">
        <v>24</v>
      </c>
      <c r="C28" s="41" t="s">
        <v>101</v>
      </c>
      <c r="D28" s="44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>5</v>
      </c>
      <c r="F28">
        <v>5</v>
      </c>
      <c r="G28" s="13" t="s">
        <v>101</v>
      </c>
    </row>
    <row r="29" spans="1:7" ht="15.75">
      <c r="A29" s="51"/>
      <c r="B29" s="52"/>
      <c r="C29" s="53"/>
      <c r="D29" s="52"/>
      <c r="F29">
        <v>3</v>
      </c>
      <c r="G29" s="13" t="s">
        <v>102</v>
      </c>
    </row>
    <row r="30" spans="1:7" ht="61.5" customHeight="1" thickBot="1">
      <c r="A30" s="40"/>
      <c r="B30" s="45"/>
      <c r="C30" s="43"/>
      <c r="D30" s="45"/>
      <c r="F30">
        <v>0</v>
      </c>
      <c r="G30" s="13" t="s">
        <v>103</v>
      </c>
    </row>
    <row r="31" spans="1:7" ht="15.75">
      <c r="A31" s="39" t="s">
        <v>25</v>
      </c>
      <c r="B31" s="44" t="s">
        <v>26</v>
      </c>
      <c r="C31" s="41" t="s">
        <v>104</v>
      </c>
      <c r="D31" s="44">
        <f>IF(IFERROR(SEARCH("Отсутствуют нарушения ТБ", C31), 0) &gt; 0, 10, IF(IFERROR(SEARCH("Имелись нарушения ТБ", C31), 0) &gt; 0, 0, ))</f>
        <v>10</v>
      </c>
      <c r="F31">
        <v>10</v>
      </c>
      <c r="G31" s="13" t="s">
        <v>104</v>
      </c>
    </row>
    <row r="32" spans="1:7" ht="33.75" customHeight="1" thickBot="1">
      <c r="A32" s="40"/>
      <c r="B32" s="45"/>
      <c r="C32" s="43"/>
      <c r="D32" s="45"/>
      <c r="F32">
        <v>0</v>
      </c>
      <c r="G32" s="13" t="s">
        <v>105</v>
      </c>
    </row>
    <row r="33" spans="1:7" ht="15.75">
      <c r="A33" s="39" t="s">
        <v>27</v>
      </c>
      <c r="B33" s="44" t="s">
        <v>28</v>
      </c>
      <c r="C33" s="41" t="s">
        <v>52</v>
      </c>
      <c r="D33" s="44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>10</v>
      </c>
      <c r="F33">
        <v>10</v>
      </c>
      <c r="G33" s="13" t="s">
        <v>52</v>
      </c>
    </row>
    <row r="34" spans="1:7" ht="15.75">
      <c r="A34" s="51"/>
      <c r="B34" s="52"/>
      <c r="C34" s="53"/>
      <c r="D34" s="52"/>
      <c r="F34">
        <v>5</v>
      </c>
      <c r="G34" s="13" t="s">
        <v>106</v>
      </c>
    </row>
    <row r="35" spans="1:7" ht="18" customHeight="1" thickBot="1">
      <c r="A35" s="40"/>
      <c r="B35" s="45"/>
      <c r="C35" s="43"/>
      <c r="D35" s="45"/>
      <c r="F35">
        <v>0</v>
      </c>
      <c r="G35" s="13" t="s">
        <v>107</v>
      </c>
    </row>
    <row r="36" spans="1:7" ht="15.75">
      <c r="A36" s="39" t="s">
        <v>29</v>
      </c>
      <c r="B36" s="44" t="s">
        <v>30</v>
      </c>
      <c r="C36" s="41" t="s">
        <v>31</v>
      </c>
      <c r="D36" s="44">
        <f>IF(IFERROR(SEARCH("Материальные средства ", C36), 0) &gt; 0, 5, IF(IFERROR(SEARCH("Не выполнены ", C36), 0) &gt; 0, 0, ))</f>
        <v>5</v>
      </c>
      <c r="F36">
        <v>5</v>
      </c>
      <c r="G36" s="13" t="s">
        <v>31</v>
      </c>
    </row>
    <row r="37" spans="1:7" ht="45" customHeight="1" thickBot="1">
      <c r="A37" s="40"/>
      <c r="B37" s="45"/>
      <c r="C37" s="43"/>
      <c r="D37" s="45"/>
      <c r="F37">
        <v>0</v>
      </c>
      <c r="G37" s="13" t="s">
        <v>110</v>
      </c>
    </row>
    <row r="38" spans="1:7" ht="15.75">
      <c r="A38" s="39" t="s">
        <v>32</v>
      </c>
      <c r="B38" s="44" t="s">
        <v>33</v>
      </c>
      <c r="C38" s="41" t="s">
        <v>108</v>
      </c>
      <c r="D38" s="44">
        <f>IF(IFERROR(SEARCH("5", C38), 0) &gt; 0, 2, IF(IFERROR(SEARCH("4", C38), 0) &gt; 0, 1, ))</f>
        <v>2</v>
      </c>
      <c r="F38">
        <v>2</v>
      </c>
      <c r="G38" s="13" t="s">
        <v>108</v>
      </c>
    </row>
    <row r="39" spans="1:7" ht="103.5" customHeight="1" thickBot="1">
      <c r="A39" s="40"/>
      <c r="B39" s="45"/>
      <c r="C39" s="43"/>
      <c r="D39" s="45"/>
      <c r="F39">
        <v>1</v>
      </c>
      <c r="G39" s="13" t="s">
        <v>109</v>
      </c>
    </row>
    <row r="40" spans="1:7">
      <c r="A40" s="46" t="s">
        <v>34</v>
      </c>
      <c r="B40" s="47"/>
      <c r="C40" s="66"/>
      <c r="D40" s="68">
        <f>SUM(D7:D39)</f>
        <v>81</v>
      </c>
      <c r="E40" s="65"/>
    </row>
    <row r="41" spans="1:7" ht="15.75" thickBot="1">
      <c r="A41" s="48"/>
      <c r="B41" s="49"/>
      <c r="C41" s="67"/>
      <c r="D41" s="69"/>
      <c r="E41" s="65"/>
    </row>
    <row r="43" spans="1:7" ht="20.25">
      <c r="A43" s="37" t="s">
        <v>35</v>
      </c>
      <c r="B43" s="37"/>
      <c r="C43" s="37"/>
      <c r="D43" s="5"/>
      <c r="E43" s="5"/>
    </row>
    <row r="44" spans="1:7" ht="20.25">
      <c r="A44" s="37"/>
      <c r="B44" s="37"/>
      <c r="C44" s="37"/>
      <c r="D44" s="6"/>
      <c r="E44" s="6"/>
    </row>
    <row r="45" spans="1:7" ht="20.25">
      <c r="A45" s="5"/>
      <c r="B45" s="5"/>
      <c r="C45" s="5" t="s">
        <v>36</v>
      </c>
      <c r="D45" s="5"/>
      <c r="E45" s="5"/>
    </row>
    <row r="46" spans="1:7" ht="20.25">
      <c r="A46" s="5"/>
      <c r="B46" s="5"/>
      <c r="C46" s="5" t="s">
        <v>320</v>
      </c>
    </row>
  </sheetData>
  <mergeCells count="63">
    <mergeCell ref="A1:E1"/>
    <mergeCell ref="A2:E2"/>
    <mergeCell ref="A3:E3"/>
    <mergeCell ref="A4:E4"/>
    <mergeCell ref="B5:B6"/>
    <mergeCell ref="C5:C6"/>
    <mergeCell ref="D5:D6"/>
    <mergeCell ref="A7:A9"/>
    <mergeCell ref="B7:B9"/>
    <mergeCell ref="C7:C9"/>
    <mergeCell ref="D7:D9"/>
    <mergeCell ref="A10:A11"/>
    <mergeCell ref="B10:B11"/>
    <mergeCell ref="C10:C11"/>
    <mergeCell ref="D10:D11"/>
    <mergeCell ref="A12:A14"/>
    <mergeCell ref="B12:B14"/>
    <mergeCell ref="C12:C14"/>
    <mergeCell ref="D12:D14"/>
    <mergeCell ref="A15:A17"/>
    <mergeCell ref="B15:B17"/>
    <mergeCell ref="C15:C17"/>
    <mergeCell ref="D15:D17"/>
    <mergeCell ref="A18:A20"/>
    <mergeCell ref="B18:B20"/>
    <mergeCell ref="C18:C20"/>
    <mergeCell ref="D18:D20"/>
    <mergeCell ref="A21:A22"/>
    <mergeCell ref="B21:B22"/>
    <mergeCell ref="C21:C22"/>
    <mergeCell ref="D21:D22"/>
    <mergeCell ref="A23:A25"/>
    <mergeCell ref="B23:B25"/>
    <mergeCell ref="C23:C25"/>
    <mergeCell ref="D23:D25"/>
    <mergeCell ref="A26:A27"/>
    <mergeCell ref="B26:B27"/>
    <mergeCell ref="C26:C27"/>
    <mergeCell ref="D26:D27"/>
    <mergeCell ref="A28:A30"/>
    <mergeCell ref="B28:B30"/>
    <mergeCell ref="C28:C30"/>
    <mergeCell ref="D28:D30"/>
    <mergeCell ref="A31:A32"/>
    <mergeCell ref="B31:B32"/>
    <mergeCell ref="C31:C32"/>
    <mergeCell ref="D31:D32"/>
    <mergeCell ref="A33:A35"/>
    <mergeCell ref="B33:B35"/>
    <mergeCell ref="C33:C35"/>
    <mergeCell ref="D33:D35"/>
    <mergeCell ref="A36:A37"/>
    <mergeCell ref="B36:B37"/>
    <mergeCell ref="C36:C37"/>
    <mergeCell ref="D36:D37"/>
    <mergeCell ref="E40:E41"/>
    <mergeCell ref="A43:C44"/>
    <mergeCell ref="A38:A39"/>
    <mergeCell ref="B38:B39"/>
    <mergeCell ref="C38:C39"/>
    <mergeCell ref="D38:D39"/>
    <mergeCell ref="A40:C41"/>
    <mergeCell ref="D40:D41"/>
  </mergeCells>
  <dataValidations count="13">
    <dataValidation type="list" allowBlank="1" showInputMessage="1" showErrorMessage="1" sqref="C38:C39">
      <formula1>$G$38:$G$39</formula1>
    </dataValidation>
    <dataValidation type="list" allowBlank="1" showInputMessage="1" showErrorMessage="1" sqref="C36:C37">
      <formula1>$G$36:$G$37</formula1>
    </dataValidation>
    <dataValidation type="list" allowBlank="1" showInputMessage="1" showErrorMessage="1" sqref="C33:C35">
      <formula1>$G$33:$G$35</formula1>
    </dataValidation>
    <dataValidation type="list" allowBlank="1" showInputMessage="1" showErrorMessage="1" sqref="C31:C32">
      <formula1>$G$31:$G$32</formula1>
    </dataValidation>
    <dataValidation type="list" allowBlank="1" showInputMessage="1" showErrorMessage="1" sqref="C28:C30">
      <formula1>$G$28:$G$30</formula1>
    </dataValidation>
    <dataValidation type="list" allowBlank="1" showInputMessage="1" showErrorMessage="1" sqref="C26:C27">
      <formula1>$G$26:$G$27</formula1>
    </dataValidation>
    <dataValidation type="list" allowBlank="1" showInputMessage="1" showErrorMessage="1" sqref="C23:C25">
      <formula1>$G$23:$G$25</formula1>
    </dataValidation>
    <dataValidation type="list" allowBlank="1" showInputMessage="1" showErrorMessage="1" sqref="C21:C22">
      <formula1>$G$21:$G$22</formula1>
    </dataValidation>
    <dataValidation type="list" allowBlank="1" showInputMessage="1" showErrorMessage="1" sqref="C18:C20">
      <formula1>$G$18:$G$20</formula1>
    </dataValidation>
    <dataValidation type="list" allowBlank="1" showInputMessage="1" showErrorMessage="1" sqref="C15:C17">
      <formula1>$G$15:$G$17</formula1>
    </dataValidation>
    <dataValidation type="list" allowBlank="1" showInputMessage="1" showErrorMessage="1" sqref="C12:C14">
      <formula1>$G$12:$G$14</formula1>
    </dataValidation>
    <dataValidation type="list" allowBlank="1" showInputMessage="1" showErrorMessage="1" sqref="C10:C11">
      <formula1>$G$10:$G$11</formula1>
    </dataValidation>
    <dataValidation type="list" allowBlank="1" showInputMessage="1" showErrorMessage="1" sqref="C7:C9">
      <formula1>$G$7:$G$9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92D050"/>
  </sheetPr>
  <dimension ref="A1:L56"/>
  <sheetViews>
    <sheetView topLeftCell="A2" workbookViewId="0">
      <selection activeCell="G2" sqref="G1:L1048576"/>
    </sheetView>
  </sheetViews>
  <sheetFormatPr defaultRowHeight="15"/>
  <cols>
    <col min="2" max="2" width="26" customWidth="1"/>
    <col min="3" max="3" width="58.5703125" customWidth="1"/>
    <col min="4" max="4" width="28.5703125" customWidth="1"/>
    <col min="5" max="5" width="0.140625" customWidth="1"/>
    <col min="6" max="6" width="0.42578125" customWidth="1"/>
    <col min="7" max="11" width="9.140625" hidden="1" customWidth="1"/>
    <col min="12" max="12" width="12" hidden="1" customWidth="1"/>
    <col min="13" max="13" width="9.140625" customWidth="1"/>
  </cols>
  <sheetData>
    <row r="1" spans="1:12" ht="20.25">
      <c r="A1" s="56" t="s">
        <v>0</v>
      </c>
      <c r="B1" s="56"/>
      <c r="C1" s="56"/>
      <c r="D1" s="56"/>
      <c r="E1" s="56"/>
    </row>
    <row r="2" spans="1:12" ht="18.75">
      <c r="A2" s="57" t="s">
        <v>1</v>
      </c>
      <c r="B2" s="57"/>
      <c r="C2" s="57"/>
      <c r="D2" s="57"/>
      <c r="E2" s="57"/>
    </row>
    <row r="3" spans="1:12" ht="18.75" customHeight="1">
      <c r="A3" s="58" t="s">
        <v>322</v>
      </c>
      <c r="B3" s="57"/>
      <c r="C3" s="57"/>
      <c r="D3" s="57"/>
      <c r="E3" s="57"/>
    </row>
    <row r="4" spans="1:12" ht="16.5" thickBot="1">
      <c r="A4" s="59"/>
      <c r="B4" s="59"/>
      <c r="C4" s="59"/>
      <c r="D4" s="59"/>
      <c r="E4" s="59"/>
    </row>
    <row r="5" spans="1:12" ht="15.75" customHeight="1">
      <c r="A5" s="2" t="s">
        <v>3</v>
      </c>
      <c r="B5" s="60" t="s">
        <v>54</v>
      </c>
      <c r="C5" s="60" t="s">
        <v>55</v>
      </c>
      <c r="D5" s="60" t="s">
        <v>42</v>
      </c>
    </row>
    <row r="6" spans="1:12" ht="16.5" thickBot="1">
      <c r="A6" s="4" t="s">
        <v>4</v>
      </c>
      <c r="B6" s="61"/>
      <c r="C6" s="61"/>
      <c r="D6" s="61"/>
    </row>
    <row r="7" spans="1:12" ht="15" customHeight="1">
      <c r="A7" s="39" t="s">
        <v>5</v>
      </c>
      <c r="B7" s="44" t="s">
        <v>6</v>
      </c>
      <c r="C7" s="44" t="s">
        <v>345</v>
      </c>
      <c r="D7" s="44">
        <f>IF(IFERROR(SEARCH("подразделения ≥ 4,5", C7), 0) &gt; 0, 5, IF(IFERROR(SEARCH("подразделения ≥ 4,0", C7), 0) &gt; 0, 3, IF(IFERROR(SEARCH("&lt;", C7), 0) &gt; 0, 0,)))</f>
        <v>0</v>
      </c>
      <c r="F7">
        <v>5</v>
      </c>
      <c r="G7" s="16" t="s">
        <v>344</v>
      </c>
    </row>
    <row r="8" spans="1:12" ht="15" customHeight="1">
      <c r="A8" s="51"/>
      <c r="B8" s="54"/>
      <c r="C8" s="52"/>
      <c r="D8" s="52"/>
      <c r="F8">
        <v>3</v>
      </c>
      <c r="G8" s="17" t="s">
        <v>343</v>
      </c>
    </row>
    <row r="9" spans="1:12" ht="18.75" customHeight="1" thickBot="1">
      <c r="A9" s="40"/>
      <c r="B9" s="55"/>
      <c r="C9" s="45"/>
      <c r="D9" s="45"/>
      <c r="F9">
        <v>0</v>
      </c>
      <c r="G9" s="18" t="s">
        <v>345</v>
      </c>
    </row>
    <row r="10" spans="1:12" ht="15" customHeight="1">
      <c r="A10" s="39" t="s">
        <v>7</v>
      </c>
      <c r="B10" s="44" t="s">
        <v>8</v>
      </c>
      <c r="C10" s="44" t="s">
        <v>259</v>
      </c>
      <c r="D10" s="44">
        <f>IF(C10="Академические задолжности отсутствуют",10,0)</f>
        <v>10</v>
      </c>
      <c r="F10">
        <v>10</v>
      </c>
    </row>
    <row r="11" spans="1:12" ht="15.75" customHeight="1" thickBot="1">
      <c r="A11" s="40"/>
      <c r="B11" s="45"/>
      <c r="C11" s="45"/>
      <c r="D11" s="45"/>
      <c r="F11">
        <v>0</v>
      </c>
    </row>
    <row r="12" spans="1:12" ht="15" customHeight="1">
      <c r="A12" s="39" t="s">
        <v>9</v>
      </c>
      <c r="B12" s="44" t="s">
        <v>10</v>
      </c>
      <c r="C12" s="44" t="s">
        <v>260</v>
      </c>
      <c r="D12" s="44">
        <f>IF(C12="В подразделении и у КУГ отсутствуют текущие задолжности",5,IF(C12="Имеются менее 20% текущих задолжностей в подразделении или у КУГ",3,IF(C12="Имеются более 20% текущих задолжностей в подразделении или у КУГ",0,)))</f>
        <v>0</v>
      </c>
      <c r="F12">
        <v>5</v>
      </c>
    </row>
    <row r="13" spans="1:12" ht="15" customHeight="1">
      <c r="A13" s="51"/>
      <c r="B13" s="52"/>
      <c r="C13" s="52"/>
      <c r="D13" s="52"/>
      <c r="F13">
        <v>3</v>
      </c>
    </row>
    <row r="14" spans="1:12" ht="15.75" customHeight="1" thickBot="1">
      <c r="A14" s="40"/>
      <c r="B14" s="45"/>
      <c r="C14" s="45"/>
      <c r="D14" s="45"/>
      <c r="F14">
        <v>0</v>
      </c>
    </row>
    <row r="15" spans="1:12" ht="15" customHeight="1">
      <c r="A15" s="39" t="s">
        <v>11</v>
      </c>
      <c r="B15" s="44" t="s">
        <v>39</v>
      </c>
      <c r="C15" s="64" t="s">
        <v>77</v>
      </c>
      <c r="D15" s="44">
        <f>IF(C15="Подразделение прибыло на занятие своевременно; дежурный по аудитории назначен; ЖУУЗ и классная доска оформлены; литература, конспекты, ПЭВМ (по необходимости) получены; внутренний порядок в аудитории поддерживается",5,IF(C15="Подразделение прибыло на занятие своевременно; дежурный по аудитории назначен; литература, конспекты, ПЭВМ (по необходимости) получены; ЖУУЗ или классная доска оформлены не своевременно; или имеются отклонения по  внутреннему порядку в аудитории",3,IF(C15="одразделение опоздало на занятие; или ЖУУЗ и классная доска не оформлены; литература, конспекты, ПЭВМ (по необходимости) не получены; или внутренний порядок в аудитории не поддерживается ",0,)))</f>
        <v>3</v>
      </c>
      <c r="F15">
        <v>5</v>
      </c>
      <c r="L15" s="13" t="s">
        <v>40</v>
      </c>
    </row>
    <row r="16" spans="1:12" ht="15" customHeight="1">
      <c r="A16" s="51"/>
      <c r="B16" s="52"/>
      <c r="C16" s="62"/>
      <c r="D16" s="52"/>
      <c r="F16">
        <v>3</v>
      </c>
      <c r="L16" s="13" t="s">
        <v>77</v>
      </c>
    </row>
    <row r="17" spans="1:12" ht="52.5" customHeight="1" thickBot="1">
      <c r="A17" s="40"/>
      <c r="B17" s="45"/>
      <c r="C17" s="63"/>
      <c r="D17" s="45"/>
      <c r="F17">
        <v>0</v>
      </c>
      <c r="L17" t="s">
        <v>78</v>
      </c>
    </row>
    <row r="18" spans="1:12" ht="15" customHeight="1" thickBot="1">
      <c r="A18" s="39" t="s">
        <v>13</v>
      </c>
      <c r="B18" s="44" t="s">
        <v>41</v>
      </c>
      <c r="C18" s="64" t="s">
        <v>80</v>
      </c>
      <c r="D18" s="44">
        <f>IF(IFERROR(SEARCH("30%", C18), 0) &gt; 0, 5, IF(IFERROR(SEARCH("10%", C18), 0) &gt; 0, 3, IF(IFERROR(SEARCH("не получены", C18), 0) &gt; 0, 0,)))</f>
        <v>3</v>
      </c>
      <c r="F18">
        <v>10</v>
      </c>
      <c r="L18" s="14" t="s">
        <v>79</v>
      </c>
    </row>
    <row r="19" spans="1:12" ht="15" customHeight="1">
      <c r="A19" s="51"/>
      <c r="B19" s="52"/>
      <c r="C19" s="62"/>
      <c r="D19" s="52"/>
      <c r="F19">
        <v>2</v>
      </c>
      <c r="L19" s="13" t="s">
        <v>80</v>
      </c>
    </row>
    <row r="20" spans="1:12" ht="105" customHeight="1" thickBot="1">
      <c r="A20" s="40"/>
      <c r="B20" s="45"/>
      <c r="C20" s="63"/>
      <c r="D20" s="45"/>
      <c r="F20">
        <v>0</v>
      </c>
      <c r="L20" s="13" t="s">
        <v>81</v>
      </c>
    </row>
    <row r="21" spans="1:12" ht="15" customHeight="1">
      <c r="A21" s="39" t="s">
        <v>15</v>
      </c>
      <c r="B21" s="44" t="s">
        <v>12</v>
      </c>
      <c r="C21" s="41" t="s">
        <v>73</v>
      </c>
      <c r="D21" s="44">
        <f>IF(C21="Замечания в подразделении и у КУГ отсутствуют",5,IF(C21="В подразделении 2 замечания у КУГ отсутствуют",3,IF(C21="В подразделении 3 и более замечаний или замечания у КУГ",0,)))</f>
        <v>5</v>
      </c>
      <c r="F21">
        <v>5</v>
      </c>
    </row>
    <row r="22" spans="1:12" ht="15.75" customHeight="1">
      <c r="A22" s="51"/>
      <c r="B22" s="52"/>
      <c r="C22" s="53"/>
      <c r="D22" s="52"/>
      <c r="F22">
        <v>0</v>
      </c>
    </row>
    <row r="23" spans="1:12" ht="82.5" customHeight="1" thickBot="1">
      <c r="A23" s="40"/>
      <c r="B23" s="45"/>
      <c r="C23" s="43"/>
      <c r="D23" s="45"/>
      <c r="F23">
        <v>10</v>
      </c>
    </row>
    <row r="24" spans="1:12" ht="15" customHeight="1">
      <c r="A24" s="39" t="s">
        <v>17</v>
      </c>
      <c r="B24" s="44" t="s">
        <v>14</v>
      </c>
      <c r="C24" s="41" t="s">
        <v>262</v>
      </c>
      <c r="D24" s="44">
        <f>IF(C24="ПРО, ПРЕ, ГДП в подразделении и КУГ отсутствуют",10,IF(C24="ПРО, ПРЕ отсутствуют, имеются не снятые взыскания за ГДП в подразделении, у КУГ отсутствуют",2,IF(C24="Совершено ПРО, ПРЕ, ГДП в подразделении или КУГ или допущено сокрытие",0,)))</f>
        <v>10</v>
      </c>
      <c r="F24">
        <v>5</v>
      </c>
    </row>
    <row r="25" spans="1:12" ht="15.75" customHeight="1">
      <c r="A25" s="51"/>
      <c r="B25" s="52"/>
      <c r="C25" s="53"/>
      <c r="D25" s="52"/>
      <c r="F25">
        <v>0</v>
      </c>
    </row>
    <row r="26" spans="1:12" ht="52.5" customHeight="1" thickBot="1">
      <c r="A26" s="40"/>
      <c r="B26" s="45"/>
      <c r="C26" s="43"/>
      <c r="D26" s="45"/>
      <c r="F26">
        <v>3</v>
      </c>
    </row>
    <row r="27" spans="1:12" ht="15.75" customHeight="1">
      <c r="A27" s="39" t="s">
        <v>20</v>
      </c>
      <c r="B27" s="44" t="s">
        <v>16</v>
      </c>
      <c r="C27" s="41" t="s">
        <v>57</v>
      </c>
      <c r="D27" s="44">
        <f>IF(C27="Дисциплинарная практика к подчиненному личному составу ведется",5,0)</f>
        <v>5</v>
      </c>
      <c r="F27">
        <v>0</v>
      </c>
    </row>
    <row r="28" spans="1:12" ht="15" customHeight="1" thickBot="1">
      <c r="A28" s="40"/>
      <c r="B28" s="45"/>
      <c r="C28" s="43"/>
      <c r="D28" s="45"/>
      <c r="F28">
        <v>5</v>
      </c>
    </row>
    <row r="29" spans="1:12" ht="15" customHeight="1">
      <c r="A29" s="39" t="s">
        <v>23</v>
      </c>
      <c r="B29" s="44" t="s">
        <v>18</v>
      </c>
      <c r="C29" s="41" t="s">
        <v>60</v>
      </c>
      <c r="D29" s="44">
        <f>IF(C29="Обстановкой владеет, доклады представляет, книжка сержантов актуальна",10,IF(C29="Обстановкой владеет, доклады представляет, книжка сержантов не актуальна",5,IF(C29="Обстановкой не владеет, доклады не представляет, книжка сержантов не актуальна",0,)))</f>
        <v>10</v>
      </c>
      <c r="F29">
        <v>3</v>
      </c>
    </row>
    <row r="30" spans="1:12" ht="15.75" customHeight="1">
      <c r="A30" s="51"/>
      <c r="B30" s="52"/>
      <c r="C30" s="53"/>
      <c r="D30" s="52"/>
      <c r="F30">
        <v>0</v>
      </c>
    </row>
    <row r="31" spans="1:12" ht="105" customHeight="1" thickBot="1">
      <c r="A31" s="40"/>
      <c r="B31" s="45"/>
      <c r="C31" s="43"/>
      <c r="D31" s="45"/>
      <c r="F31">
        <v>10</v>
      </c>
    </row>
    <row r="32" spans="1:12" ht="26.25" customHeight="1">
      <c r="A32" s="39" t="s">
        <v>25</v>
      </c>
      <c r="B32" s="44" t="s">
        <v>21</v>
      </c>
      <c r="C32" s="41" t="s">
        <v>75</v>
      </c>
      <c r="D32" s="44">
        <f>IF(C32="Подведение итогов актуально, поставлены конкретные задачи и проводится в установленное время",3,0)</f>
        <v>3</v>
      </c>
      <c r="F32">
        <v>0</v>
      </c>
    </row>
    <row r="33" spans="1:6" ht="30" customHeight="1" thickBot="1">
      <c r="A33" s="40"/>
      <c r="B33" s="45"/>
      <c r="C33" s="43"/>
      <c r="D33" s="45"/>
      <c r="F33">
        <v>10</v>
      </c>
    </row>
    <row r="34" spans="1:6" ht="15" customHeight="1">
      <c r="A34" s="51" t="s">
        <v>27</v>
      </c>
      <c r="B34" s="52" t="s">
        <v>43</v>
      </c>
      <c r="C34" s="41" t="s">
        <v>263</v>
      </c>
      <c r="D34" s="62">
        <f>IF(C34="Увольнения распределены равномерно",2,0)</f>
        <v>2</v>
      </c>
      <c r="F34">
        <v>5</v>
      </c>
    </row>
    <row r="35" spans="1:6" ht="15.75" customHeight="1" thickBot="1">
      <c r="A35" s="40"/>
      <c r="B35" s="45"/>
      <c r="C35" s="43"/>
      <c r="D35" s="63"/>
      <c r="F35">
        <v>0</v>
      </c>
    </row>
    <row r="36" spans="1:6" ht="15" customHeight="1">
      <c r="A36" s="39" t="s">
        <v>29</v>
      </c>
      <c r="B36" s="44" t="s">
        <v>44</v>
      </c>
      <c r="C36" s="44" t="s">
        <v>61</v>
      </c>
      <c r="D36" s="64">
        <f>IF(C36="Наряды и уборщики распределены равномерно",2,IF(C36="Наряды распределены равномерно, уборщики не равномерно",1,IF(C36="Наряды и уборщики распределены не равномерно",0,)))</f>
        <v>2</v>
      </c>
      <c r="F36">
        <v>5</v>
      </c>
    </row>
    <row r="37" spans="1:6" ht="15.75" customHeight="1">
      <c r="A37" s="51"/>
      <c r="B37" s="52"/>
      <c r="C37" s="52"/>
      <c r="D37" s="62"/>
      <c r="F37">
        <v>0</v>
      </c>
    </row>
    <row r="38" spans="1:6" ht="38.25" customHeight="1" thickBot="1">
      <c r="A38" s="40"/>
      <c r="B38" s="45"/>
      <c r="C38" s="45"/>
      <c r="D38" s="63"/>
      <c r="F38">
        <v>2</v>
      </c>
    </row>
    <row r="39" spans="1:6" ht="15.75" customHeight="1">
      <c r="A39" s="39" t="s">
        <v>32</v>
      </c>
      <c r="B39" s="44" t="s">
        <v>24</v>
      </c>
      <c r="C39" s="41" t="s">
        <v>264</v>
      </c>
      <c r="D39" s="44">
        <f>IF(C39="Замечания у подчиненного л/с отсутствуют, КУГ оценен не ниже «хорошо»",5,IF(C39="Выявлено не более 2 замечаний у подчиненного л/с, КУГ оценен не ниже «хорошо»",3,IF(C39="Л/с отстранен или выявлено более 2 замечаний, КУГ оценен ниже «хорошо»",0,)))</f>
        <v>5</v>
      </c>
      <c r="F39">
        <v>1</v>
      </c>
    </row>
    <row r="40" spans="1:6" ht="15" customHeight="1">
      <c r="A40" s="51"/>
      <c r="B40" s="52"/>
      <c r="C40" s="53"/>
      <c r="D40" s="52"/>
    </row>
    <row r="41" spans="1:6" ht="40.5" customHeight="1" thickBot="1">
      <c r="A41" s="40"/>
      <c r="B41" s="45"/>
      <c r="C41" s="43"/>
      <c r="D41" s="45"/>
    </row>
    <row r="42" spans="1:6">
      <c r="A42" s="39" t="s">
        <v>45</v>
      </c>
      <c r="B42" s="44" t="s">
        <v>26</v>
      </c>
      <c r="C42" s="41" t="s">
        <v>65</v>
      </c>
      <c r="D42" s="44">
        <f>IF(C42="Нарушений ТБ, приведших к травматизму л/с нет",10,0)</f>
        <v>10</v>
      </c>
    </row>
    <row r="43" spans="1:6" ht="44.25" customHeight="1" thickBot="1">
      <c r="A43" s="40"/>
      <c r="B43" s="45"/>
      <c r="C43" s="43"/>
      <c r="D43" s="45"/>
    </row>
    <row r="44" spans="1:6">
      <c r="A44" s="39" t="s">
        <v>46</v>
      </c>
      <c r="B44" s="44" t="s">
        <v>28</v>
      </c>
      <c r="C44" s="41" t="s">
        <v>52</v>
      </c>
      <c r="D44" s="44">
        <f>IF(C44="Элементы распорядка дня соблюдаются",10,IF(C44="Не более пяти нарушений распорядка дня, срывов мероприятий не допущено",5,IF(C44="Более пяти нарушений элементов распорядка дня или мероприятие сорвано",0,)))</f>
        <v>10</v>
      </c>
    </row>
    <row r="45" spans="1:6">
      <c r="A45" s="51"/>
      <c r="B45" s="52"/>
      <c r="C45" s="53"/>
      <c r="D45" s="52"/>
    </row>
    <row r="46" spans="1:6" ht="15.75" thickBot="1">
      <c r="A46" s="40"/>
      <c r="B46" s="45"/>
      <c r="C46" s="43"/>
      <c r="D46" s="45"/>
    </row>
    <row r="47" spans="1:6">
      <c r="A47" s="39" t="s">
        <v>47</v>
      </c>
      <c r="B47" s="44" t="s">
        <v>30</v>
      </c>
      <c r="C47" s="41" t="s">
        <v>31</v>
      </c>
      <c r="D47" s="44">
        <f>IF(C47="Материальные средства подразделения в наличии, исправны, обслужены, хранятся правильно",5,0)</f>
        <v>5</v>
      </c>
    </row>
    <row r="48" spans="1:6" ht="45" customHeight="1" thickBot="1">
      <c r="A48" s="40"/>
      <c r="B48" s="45"/>
      <c r="C48" s="43"/>
      <c r="D48" s="45"/>
    </row>
    <row r="49" spans="1:5">
      <c r="A49" s="39" t="s">
        <v>48</v>
      </c>
      <c r="B49" s="44" t="s">
        <v>33</v>
      </c>
      <c r="C49" s="41" t="s">
        <v>49</v>
      </c>
      <c r="D49" s="44">
        <f>IF(C49="Оценка по физической подготовке (культуре) - 5",2,1)</f>
        <v>2</v>
      </c>
    </row>
    <row r="50" spans="1:5" ht="97.5" customHeight="1" thickBot="1">
      <c r="A50" s="40"/>
      <c r="B50" s="45"/>
      <c r="C50" s="43"/>
      <c r="D50" s="45"/>
    </row>
    <row r="51" spans="1:5" ht="15.75">
      <c r="A51" s="46" t="s">
        <v>34</v>
      </c>
      <c r="B51" s="47"/>
      <c r="C51" s="47"/>
      <c r="D51" s="50">
        <f>SUM(D7:D50)</f>
        <v>85</v>
      </c>
      <c r="E51" s="8"/>
    </row>
    <row r="52" spans="1:5" ht="16.5" thickBot="1">
      <c r="A52" s="48"/>
      <c r="B52" s="49"/>
      <c r="C52" s="49"/>
      <c r="D52" s="42"/>
      <c r="E52" s="8"/>
    </row>
    <row r="54" spans="1:5" ht="20.25">
      <c r="A54" s="37" t="s">
        <v>35</v>
      </c>
      <c r="B54" s="37"/>
      <c r="C54" s="37"/>
      <c r="D54" s="37"/>
      <c r="E54" s="37"/>
    </row>
    <row r="55" spans="1:5" ht="20.25">
      <c r="A55" s="38" t="s">
        <v>36</v>
      </c>
      <c r="B55" s="38"/>
      <c r="C55" s="38"/>
      <c r="D55" s="38"/>
      <c r="E55" s="38"/>
    </row>
    <row r="56" spans="1:5" ht="21">
      <c r="A56" s="9"/>
      <c r="B56" s="9"/>
      <c r="C56" s="5" t="s">
        <v>319</v>
      </c>
      <c r="D56" s="5"/>
      <c r="E56" s="9"/>
    </row>
  </sheetData>
  <mergeCells count="79">
    <mergeCell ref="A1:E1"/>
    <mergeCell ref="A2:E2"/>
    <mergeCell ref="A3:E3"/>
    <mergeCell ref="A4:E4"/>
    <mergeCell ref="B5:B6"/>
    <mergeCell ref="C5:C6"/>
    <mergeCell ref="D5:D6"/>
    <mergeCell ref="A7:A9"/>
    <mergeCell ref="B7:B9"/>
    <mergeCell ref="C7:C9"/>
    <mergeCell ref="D7:D9"/>
    <mergeCell ref="A10:A11"/>
    <mergeCell ref="B10:B11"/>
    <mergeCell ref="C10:C11"/>
    <mergeCell ref="D10:D11"/>
    <mergeCell ref="A12:A14"/>
    <mergeCell ref="B12:B14"/>
    <mergeCell ref="C12:C14"/>
    <mergeCell ref="D12:D14"/>
    <mergeCell ref="A15:A17"/>
    <mergeCell ref="B15:B17"/>
    <mergeCell ref="C15:C17"/>
    <mergeCell ref="D15:D17"/>
    <mergeCell ref="A18:A20"/>
    <mergeCell ref="B18:B20"/>
    <mergeCell ref="C18:C20"/>
    <mergeCell ref="D18:D20"/>
    <mergeCell ref="A21:A23"/>
    <mergeCell ref="B21:B23"/>
    <mergeCell ref="C21:C23"/>
    <mergeCell ref="D21:D23"/>
    <mergeCell ref="A24:A26"/>
    <mergeCell ref="B24:B26"/>
    <mergeCell ref="C24:C26"/>
    <mergeCell ref="D24:D26"/>
    <mergeCell ref="A27:A28"/>
    <mergeCell ref="B27:B28"/>
    <mergeCell ref="C27:C28"/>
    <mergeCell ref="D27:D28"/>
    <mergeCell ref="A29:A31"/>
    <mergeCell ref="B29:B31"/>
    <mergeCell ref="C29:C31"/>
    <mergeCell ref="D29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8"/>
    <mergeCell ref="B36:B38"/>
    <mergeCell ref="C36:C38"/>
    <mergeCell ref="D36:D38"/>
    <mergeCell ref="A39:A41"/>
    <mergeCell ref="B39:B41"/>
    <mergeCell ref="C39:C41"/>
    <mergeCell ref="D39:D41"/>
    <mergeCell ref="A42:A43"/>
    <mergeCell ref="B42:B43"/>
    <mergeCell ref="C42:C43"/>
    <mergeCell ref="D42:D43"/>
    <mergeCell ref="A44:A46"/>
    <mergeCell ref="B44:B46"/>
    <mergeCell ref="C44:C46"/>
    <mergeCell ref="D44:D46"/>
    <mergeCell ref="A47:A48"/>
    <mergeCell ref="B47:B48"/>
    <mergeCell ref="C47:C48"/>
    <mergeCell ref="D47:D48"/>
    <mergeCell ref="A54:E54"/>
    <mergeCell ref="A55:E55"/>
    <mergeCell ref="A49:A50"/>
    <mergeCell ref="B49:B50"/>
    <mergeCell ref="C49:C50"/>
    <mergeCell ref="D49:D50"/>
    <mergeCell ref="A51:C52"/>
    <mergeCell ref="D51:D52"/>
  </mergeCells>
  <dataValidations count="17">
    <dataValidation type="list" allowBlank="1" showInputMessage="1" showErrorMessage="1" sqref="C18:C20">
      <formula1>$L$18:$L$20</formula1>
    </dataValidation>
    <dataValidation type="list" allowBlank="1" showInputMessage="1" showErrorMessage="1" sqref="C49:C50">
      <formula1>"Оценка по физической подготовке (культуре) - 5,Оценка по физической подготовке (культуре) - 4"</formula1>
    </dataValidation>
    <dataValidation type="list" allowBlank="1" showInputMessage="1" showErrorMessage="1" sqref="C47:C48">
      <formula1>"Материальные средства подразделения в наличии, исправны, обслужены, хранятся правильно,Не выполнены предъявляемые критерии "</formula1>
    </dataValidation>
    <dataValidation type="list" allowBlank="1" showInputMessage="1" showErrorMessage="1" sqref="C44:C46">
      <formula1>"Элементы распорядка дня соблюдаются,Не более пяти нарушений распорядка дня, срывов мероприятий не допущено,Более пяти нарушений элементов распорядка дня или мероприятие сорвано"</formula1>
    </dataValidation>
    <dataValidation type="list" allowBlank="1" showInputMessage="1" showErrorMessage="1" sqref="C42:C43">
      <formula1>"Нарушений ТБ, приведших к травматизму л/с нет,Есть нарушения ТБ, приведших к травматизму л/с"</formula1>
    </dataValidation>
    <dataValidation type="list" allowBlank="1" showInputMessage="1" showErrorMessage="1" sqref="C39:C41">
      <formula1>"Замечания у подчиненного л/с отсутствуют, КУГ оценен не ниже «хорошо»,Выявлено не более 2 замечаний у подчиненного л/с, КУГ оценен не ниже «хорошо»,Л/с отстранен или выявлено более 2 замечаний, КУГ оценен ниже «хорошо»,"</formula1>
    </dataValidation>
    <dataValidation type="list" allowBlank="1" showInputMessage="1" showErrorMessage="1" sqref="C36:C38">
      <formula1>"Наряды и уборщики распределены равномерно,Наряды распределены равномерно, уборщики не равномерно,Наряды и уборщики распределены не равномерно"</formula1>
    </dataValidation>
    <dataValidation type="list" allowBlank="1" showInputMessage="1" showErrorMessage="1" sqref="C34:C35">
      <formula1>"Увольнения распределены равномерно,Увольнения распределяются не равномерно"</formula1>
    </dataValidation>
    <dataValidation type="list" allowBlank="1" showInputMessage="1" showErrorMessage="1" sqref="C32:C33">
      <formula1>"Подведение итогов актуально, поставлены конкретные задачи и проводится в установленное время,Подведение итогов не актуально, не поставлены задачи или не проводится"</formula1>
    </dataValidation>
    <dataValidation type="list" allowBlank="1" showInputMessage="1" showErrorMessage="1" sqref="C29:C31">
      <formula1>"Обстановкой владеет, доклады представляет, книжка сержантов актуальна,Обстановкой владеет, доклады представляет, книжка сержантов не актуальна,Обстановкой не владеет, доклады не представляет, книжка сержантов не актуальна"</formula1>
    </dataValidation>
    <dataValidation type="list" allowBlank="1" showInputMessage="1" showErrorMessage="1" sqref="C27:C28">
      <formula1>"Дисциплинарная практика к подчиненному личному составу ведется,Дисциплинарная практика к подчиненному личному составу не реализуется или КУГ имеет дисциплинарные взыскания"</formula1>
    </dataValidation>
    <dataValidation type="list" allowBlank="1" showInputMessage="1" showErrorMessage="1" sqref="C24:C26">
      <formula1>"ПРО, ПРЕ, ГДП в подразделении и КУГ отсутствуют, ПРО, ПРЕ отсутствуют, имеются не снятые взыскания за ГДП в подразделении, у КУГ отсутствуют, Совершено ПРО, ПРЕ, ГДП в подразделении или КУГ или допущено сокрытие"</formula1>
    </dataValidation>
    <dataValidation type="list" allowBlank="1" showInputMessage="1" showErrorMessage="1" sqref="C21:C23">
      <formula1>"Замечания в подразделении и у КУГ отсутствуют,В подразделении 2 замечания у КУГ отсутствуют,В подразделении 3 и более замечаний или замечания у КУГ"</formula1>
    </dataValidation>
    <dataValidation type="list" allowBlank="1" showInputMessage="1" showErrorMessage="1" sqref="C15:C17">
      <formula1>$L$15:$L$17</formula1>
    </dataValidation>
    <dataValidation type="list" allowBlank="1" showInputMessage="1" showErrorMessage="1" sqref="C12:C14">
      <formula1>"В подразделении и у КУГ отсутствуют текущие задолжности,Имеются менее 20% текущих задолжностей в подразделении или у КУГ,Имеются более 20% текущих задолжностей в подразделении или у КУГ"</formula1>
    </dataValidation>
    <dataValidation type="list" allowBlank="1" showInputMessage="1" showErrorMessage="1" sqref="C10:C11">
      <formula1>"Академические задолжности отсутствуют, Имеются академические задолжности в учебной группе или у КУГ"</formula1>
    </dataValidation>
    <dataValidation type="list" allowBlank="1" showInputMessage="1" showErrorMessage="1" sqref="C7:C9">
      <formula1>$G$7:$G$9</formula1>
    </dataValidation>
  </dataValidation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92D050"/>
  </sheetPr>
  <dimension ref="A1:U46"/>
  <sheetViews>
    <sheetView zoomScale="115" zoomScaleNormal="115" workbookViewId="0">
      <selection activeCell="A3" sqref="A3:E3"/>
    </sheetView>
  </sheetViews>
  <sheetFormatPr defaultRowHeight="15"/>
  <cols>
    <col min="2" max="2" width="26" customWidth="1"/>
    <col min="3" max="3" width="58.5703125" customWidth="1"/>
    <col min="4" max="4" width="28.42578125" customWidth="1"/>
    <col min="5" max="5" width="24.140625" hidden="1" customWidth="1"/>
    <col min="6" max="6" width="24" hidden="1" customWidth="1"/>
    <col min="7" max="7" width="1.85546875" hidden="1" customWidth="1"/>
    <col min="8" max="8" width="18.42578125" customWidth="1"/>
  </cols>
  <sheetData>
    <row r="1" spans="1:21" ht="20.25">
      <c r="A1" s="56" t="s">
        <v>0</v>
      </c>
      <c r="B1" s="56"/>
      <c r="C1" s="56"/>
      <c r="D1" s="56"/>
      <c r="E1" s="56"/>
    </row>
    <row r="2" spans="1:21" ht="18.75">
      <c r="A2" s="57" t="s">
        <v>1</v>
      </c>
      <c r="B2" s="57"/>
      <c r="C2" s="57"/>
      <c r="D2" s="57"/>
      <c r="E2" s="57"/>
    </row>
    <row r="3" spans="1:21" ht="18.75" customHeight="1">
      <c r="A3" s="58" t="s">
        <v>321</v>
      </c>
      <c r="B3" s="57"/>
      <c r="C3" s="57"/>
      <c r="D3" s="57"/>
      <c r="E3" s="57"/>
    </row>
    <row r="4" spans="1:21" ht="16.5" thickBot="1">
      <c r="A4" s="59"/>
      <c r="B4" s="59"/>
      <c r="C4" s="59"/>
      <c r="D4" s="59"/>
      <c r="E4" s="59"/>
    </row>
    <row r="5" spans="1:21" ht="15.75">
      <c r="A5" s="2" t="s">
        <v>3</v>
      </c>
      <c r="B5" s="60" t="s">
        <v>54</v>
      </c>
      <c r="C5" s="60" t="s">
        <v>55</v>
      </c>
      <c r="D5" s="60" t="s">
        <v>42</v>
      </c>
    </row>
    <row r="6" spans="1:21" ht="16.5" thickBot="1">
      <c r="A6" s="4" t="s">
        <v>4</v>
      </c>
      <c r="B6" s="61"/>
      <c r="C6" s="61"/>
      <c r="D6" s="61"/>
    </row>
    <row r="7" spans="1:21" ht="13.5" customHeight="1">
      <c r="A7" s="39" t="s">
        <v>5</v>
      </c>
      <c r="B7" s="44" t="s">
        <v>6</v>
      </c>
      <c r="C7" s="44" t="s">
        <v>83</v>
      </c>
      <c r="D7" s="44">
        <f>IF(IFERROR(SEARCH("подразделения ≥ 4,5", C7), 0) &gt; 0, 5, IF(IFERROR(SEARCH("подразделения ≥ 4,0", C7), 0) &gt; 0, 3, IF(IFERROR(SEARCH("&lt;", C7), 0) &gt; 0, 0,)))</f>
        <v>3</v>
      </c>
      <c r="F7">
        <v>5</v>
      </c>
      <c r="G7" s="16" t="s">
        <v>82</v>
      </c>
      <c r="N7" s="15"/>
      <c r="U7" s="15"/>
    </row>
    <row r="8" spans="1:21" ht="20.25" customHeight="1">
      <c r="A8" s="51"/>
      <c r="B8" s="54"/>
      <c r="C8" s="52"/>
      <c r="D8" s="52"/>
      <c r="F8">
        <v>3</v>
      </c>
      <c r="G8" s="17" t="s">
        <v>83</v>
      </c>
      <c r="N8" s="13"/>
      <c r="U8" s="13"/>
    </row>
    <row r="9" spans="1:21" ht="18" customHeight="1" thickBot="1">
      <c r="A9" s="40"/>
      <c r="B9" s="55"/>
      <c r="C9" s="45"/>
      <c r="D9" s="45"/>
      <c r="F9">
        <v>0</v>
      </c>
      <c r="G9" s="18" t="s">
        <v>84</v>
      </c>
    </row>
    <row r="10" spans="1:21">
      <c r="A10" s="39" t="s">
        <v>7</v>
      </c>
      <c r="B10" s="44" t="s">
        <v>8</v>
      </c>
      <c r="C10" s="44" t="s">
        <v>85</v>
      </c>
      <c r="D10" s="44">
        <f>IF(IFERROR(SEARCH("отсутствуют", C10), 0) &gt; 0, 10, IF(IFERROR(SEARCH("имеются", C10), 0) &gt; 0, 0, ))</f>
        <v>10</v>
      </c>
      <c r="F10">
        <v>10</v>
      </c>
      <c r="G10" t="s">
        <v>85</v>
      </c>
    </row>
    <row r="11" spans="1:21" ht="24.75" customHeight="1" thickBot="1">
      <c r="A11" s="40"/>
      <c r="B11" s="45"/>
      <c r="C11" s="45"/>
      <c r="D11" s="45"/>
      <c r="F11">
        <v>0</v>
      </c>
      <c r="G11" s="13" t="s">
        <v>86</v>
      </c>
    </row>
    <row r="12" spans="1:21" ht="18" customHeight="1" thickBot="1">
      <c r="A12" s="39" t="s">
        <v>9</v>
      </c>
      <c r="B12" s="44" t="s">
        <v>10</v>
      </c>
      <c r="C12" s="44" t="s">
        <v>87</v>
      </c>
      <c r="D12" s="44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>5</v>
      </c>
      <c r="F12">
        <v>5</v>
      </c>
      <c r="G12" s="14" t="s">
        <v>87</v>
      </c>
    </row>
    <row r="13" spans="1:21" ht="15.75">
      <c r="A13" s="51"/>
      <c r="B13" s="52"/>
      <c r="C13" s="52"/>
      <c r="D13" s="52"/>
      <c r="F13">
        <v>3</v>
      </c>
      <c r="G13" s="13" t="s">
        <v>88</v>
      </c>
    </row>
    <row r="14" spans="1:21" ht="16.5" thickBot="1">
      <c r="A14" s="40"/>
      <c r="B14" s="45"/>
      <c r="C14" s="45"/>
      <c r="D14" s="45"/>
      <c r="F14">
        <v>0</v>
      </c>
      <c r="G14" s="13" t="s">
        <v>89</v>
      </c>
    </row>
    <row r="15" spans="1:21" ht="15.75">
      <c r="A15" s="39" t="s">
        <v>11</v>
      </c>
      <c r="B15" s="44" t="s">
        <v>12</v>
      </c>
      <c r="C15" s="41" t="s">
        <v>91</v>
      </c>
      <c r="D15" s="44">
        <f>IF(IFERROR(SEARCH("Отсутствуют", C15), 0) &gt; 0, 5, IF(IFERROR(SEARCH("Наличие одного", C15), 0) &gt; 0, 3, IF(IFERROR(SEARCH("Наличие двух", C15), 0) &gt; 0, 0,)))</f>
        <v>3</v>
      </c>
      <c r="F15">
        <v>5</v>
      </c>
      <c r="G15" s="19" t="s">
        <v>90</v>
      </c>
    </row>
    <row r="16" spans="1:21" ht="15.75">
      <c r="A16" s="51"/>
      <c r="B16" s="52"/>
      <c r="C16" s="53"/>
      <c r="D16" s="52"/>
      <c r="F16">
        <v>3</v>
      </c>
      <c r="G16" s="13" t="s">
        <v>91</v>
      </c>
    </row>
    <row r="17" spans="1:7" ht="92.25" customHeight="1" thickBot="1">
      <c r="A17" s="40"/>
      <c r="B17" s="45"/>
      <c r="C17" s="43"/>
      <c r="D17" s="45"/>
      <c r="F17">
        <v>0</v>
      </c>
      <c r="G17" s="13" t="s">
        <v>92</v>
      </c>
    </row>
    <row r="18" spans="1:7" ht="15" customHeight="1" thickBot="1">
      <c r="A18" s="39" t="s">
        <v>13</v>
      </c>
      <c r="B18" s="44" t="s">
        <v>14</v>
      </c>
      <c r="C18" s="41" t="s">
        <v>93</v>
      </c>
      <c r="D18" s="44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>10</v>
      </c>
      <c r="F18">
        <v>10</v>
      </c>
      <c r="G18" s="13" t="s">
        <v>93</v>
      </c>
    </row>
    <row r="19" spans="1:7" ht="15" customHeight="1" thickBot="1">
      <c r="A19" s="51"/>
      <c r="B19" s="52"/>
      <c r="C19" s="53"/>
      <c r="D19" s="52"/>
      <c r="F19">
        <v>2</v>
      </c>
      <c r="G19" s="14" t="s">
        <v>94</v>
      </c>
    </row>
    <row r="20" spans="1:7" ht="57" customHeight="1" thickBot="1">
      <c r="A20" s="40"/>
      <c r="B20" s="45"/>
      <c r="C20" s="43"/>
      <c r="D20" s="45"/>
      <c r="F20">
        <v>0</v>
      </c>
      <c r="G20" s="13" t="s">
        <v>95</v>
      </c>
    </row>
    <row r="21" spans="1:7" ht="15.75">
      <c r="A21" s="39" t="s">
        <v>15</v>
      </c>
      <c r="B21" s="44" t="s">
        <v>16</v>
      </c>
      <c r="C21" s="41" t="s">
        <v>96</v>
      </c>
      <c r="D21" s="44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>5</v>
      </c>
      <c r="F21">
        <v>5</v>
      </c>
      <c r="G21" s="13" t="s">
        <v>96</v>
      </c>
    </row>
    <row r="22" spans="1:7" ht="42.75" customHeight="1" thickBot="1">
      <c r="A22" s="40"/>
      <c r="B22" s="45"/>
      <c r="C22" s="43"/>
      <c r="D22" s="45"/>
      <c r="F22">
        <v>0</v>
      </c>
      <c r="G22" s="13" t="s">
        <v>97</v>
      </c>
    </row>
    <row r="23" spans="1:7" ht="15.75">
      <c r="A23" s="39" t="s">
        <v>17</v>
      </c>
      <c r="B23" s="44" t="s">
        <v>18</v>
      </c>
      <c r="C23" s="41" t="s">
        <v>19</v>
      </c>
      <c r="D23" s="44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>10</v>
      </c>
      <c r="F23">
        <v>10</v>
      </c>
      <c r="G23" s="13" t="s">
        <v>19</v>
      </c>
    </row>
    <row r="24" spans="1:7" ht="15.75">
      <c r="A24" s="51"/>
      <c r="B24" s="52"/>
      <c r="C24" s="53"/>
      <c r="D24" s="52"/>
      <c r="F24">
        <v>5</v>
      </c>
      <c r="G24" s="13" t="s">
        <v>98</v>
      </c>
    </row>
    <row r="25" spans="1:7" ht="82.5" customHeight="1" thickBot="1">
      <c r="A25" s="40"/>
      <c r="B25" s="45"/>
      <c r="C25" s="43"/>
      <c r="D25" s="45"/>
      <c r="F25">
        <v>0</v>
      </c>
      <c r="G25" s="13" t="s">
        <v>99</v>
      </c>
    </row>
    <row r="26" spans="1:7" ht="15.75">
      <c r="A26" s="39" t="s">
        <v>20</v>
      </c>
      <c r="B26" s="44" t="s">
        <v>21</v>
      </c>
      <c r="C26" s="41" t="s">
        <v>22</v>
      </c>
      <c r="D26" s="44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>3</v>
      </c>
      <c r="F26">
        <v>3</v>
      </c>
      <c r="G26" s="13" t="s">
        <v>22</v>
      </c>
    </row>
    <row r="27" spans="1:7" ht="41.25" customHeight="1" thickBot="1">
      <c r="A27" s="40"/>
      <c r="B27" s="45"/>
      <c r="C27" s="43"/>
      <c r="D27" s="45"/>
      <c r="F27">
        <v>0</v>
      </c>
      <c r="G27" s="13" t="s">
        <v>100</v>
      </c>
    </row>
    <row r="28" spans="1:7" ht="15.75">
      <c r="A28" s="39" t="s">
        <v>23</v>
      </c>
      <c r="B28" s="44" t="s">
        <v>24</v>
      </c>
      <c r="C28" s="41" t="s">
        <v>101</v>
      </c>
      <c r="D28" s="44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>5</v>
      </c>
      <c r="F28">
        <v>5</v>
      </c>
      <c r="G28" s="13" t="s">
        <v>101</v>
      </c>
    </row>
    <row r="29" spans="1:7" ht="15.75">
      <c r="A29" s="51"/>
      <c r="B29" s="52"/>
      <c r="C29" s="53"/>
      <c r="D29" s="52"/>
      <c r="F29">
        <v>3</v>
      </c>
      <c r="G29" s="13" t="s">
        <v>102</v>
      </c>
    </row>
    <row r="30" spans="1:7" ht="61.5" customHeight="1" thickBot="1">
      <c r="A30" s="40"/>
      <c r="B30" s="45"/>
      <c r="C30" s="43"/>
      <c r="D30" s="45"/>
      <c r="F30">
        <v>0</v>
      </c>
      <c r="G30" s="13" t="s">
        <v>103</v>
      </c>
    </row>
    <row r="31" spans="1:7" ht="15.75">
      <c r="A31" s="39" t="s">
        <v>25</v>
      </c>
      <c r="B31" s="44" t="s">
        <v>26</v>
      </c>
      <c r="C31" s="41" t="s">
        <v>104</v>
      </c>
      <c r="D31" s="44">
        <f>IF(IFERROR(SEARCH("Отсутствуют нарушения ТБ", C31), 0) &gt; 0, 10, IF(IFERROR(SEARCH("Имелись нарушения ТБ", C31), 0) &gt; 0, 0, ))</f>
        <v>10</v>
      </c>
      <c r="F31">
        <v>10</v>
      </c>
      <c r="G31" s="13" t="s">
        <v>104</v>
      </c>
    </row>
    <row r="32" spans="1:7" ht="33.75" customHeight="1" thickBot="1">
      <c r="A32" s="40"/>
      <c r="B32" s="45"/>
      <c r="C32" s="43"/>
      <c r="D32" s="45"/>
      <c r="F32">
        <v>0</v>
      </c>
      <c r="G32" s="13" t="s">
        <v>105</v>
      </c>
    </row>
    <row r="33" spans="1:7" ht="15.75">
      <c r="A33" s="39" t="s">
        <v>27</v>
      </c>
      <c r="B33" s="44" t="s">
        <v>28</v>
      </c>
      <c r="C33" s="41" t="s">
        <v>52</v>
      </c>
      <c r="D33" s="44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>10</v>
      </c>
      <c r="F33">
        <v>10</v>
      </c>
      <c r="G33" s="13" t="s">
        <v>52</v>
      </c>
    </row>
    <row r="34" spans="1:7" ht="15.75">
      <c r="A34" s="51"/>
      <c r="B34" s="52"/>
      <c r="C34" s="53"/>
      <c r="D34" s="52"/>
      <c r="F34">
        <v>5</v>
      </c>
      <c r="G34" s="13" t="s">
        <v>106</v>
      </c>
    </row>
    <row r="35" spans="1:7" ht="18" customHeight="1" thickBot="1">
      <c r="A35" s="40"/>
      <c r="B35" s="45"/>
      <c r="C35" s="43"/>
      <c r="D35" s="45"/>
      <c r="F35">
        <v>0</v>
      </c>
      <c r="G35" s="13" t="s">
        <v>107</v>
      </c>
    </row>
    <row r="36" spans="1:7" ht="15.75">
      <c r="A36" s="39" t="s">
        <v>29</v>
      </c>
      <c r="B36" s="44" t="s">
        <v>30</v>
      </c>
      <c r="C36" s="41" t="s">
        <v>31</v>
      </c>
      <c r="D36" s="44">
        <f>IF(IFERROR(SEARCH("Материальные средства ", C36), 0) &gt; 0, 5, IF(IFERROR(SEARCH("Не выполнены ", C36), 0) &gt; 0, 0, ))</f>
        <v>5</v>
      </c>
      <c r="F36">
        <v>5</v>
      </c>
      <c r="G36" s="13" t="s">
        <v>31</v>
      </c>
    </row>
    <row r="37" spans="1:7" ht="45" customHeight="1" thickBot="1">
      <c r="A37" s="40"/>
      <c r="B37" s="45"/>
      <c r="C37" s="43"/>
      <c r="D37" s="45"/>
      <c r="F37">
        <v>0</v>
      </c>
      <c r="G37" s="13" t="s">
        <v>110</v>
      </c>
    </row>
    <row r="38" spans="1:7" ht="15.75">
      <c r="A38" s="39" t="s">
        <v>32</v>
      </c>
      <c r="B38" s="44" t="s">
        <v>33</v>
      </c>
      <c r="C38" s="41" t="s">
        <v>108</v>
      </c>
      <c r="D38" s="44">
        <f>IF(IFERROR(SEARCH("5", C38), 0) &gt; 0, 2, IF(IFERROR(SEARCH("4", C38), 0) &gt; 0, 1, ))</f>
        <v>2</v>
      </c>
      <c r="F38">
        <v>2</v>
      </c>
      <c r="G38" s="13" t="s">
        <v>108</v>
      </c>
    </row>
    <row r="39" spans="1:7" ht="103.5" customHeight="1" thickBot="1">
      <c r="A39" s="40"/>
      <c r="B39" s="45"/>
      <c r="C39" s="43"/>
      <c r="D39" s="45"/>
      <c r="F39">
        <v>1</v>
      </c>
      <c r="G39" s="13" t="s">
        <v>109</v>
      </c>
    </row>
    <row r="40" spans="1:7">
      <c r="A40" s="46" t="s">
        <v>34</v>
      </c>
      <c r="B40" s="47"/>
      <c r="C40" s="66"/>
      <c r="D40" s="68">
        <f>SUM(D7:D39)</f>
        <v>81</v>
      </c>
      <c r="E40" s="65"/>
    </row>
    <row r="41" spans="1:7" ht="15.75" thickBot="1">
      <c r="A41" s="48"/>
      <c r="B41" s="49"/>
      <c r="C41" s="67"/>
      <c r="D41" s="69"/>
      <c r="E41" s="65"/>
    </row>
    <row r="43" spans="1:7" ht="20.25">
      <c r="A43" s="37" t="s">
        <v>35</v>
      </c>
      <c r="B43" s="37"/>
      <c r="C43" s="37"/>
      <c r="D43" s="5"/>
      <c r="E43" s="5"/>
    </row>
    <row r="44" spans="1:7" ht="20.25">
      <c r="A44" s="37"/>
      <c r="B44" s="37"/>
      <c r="C44" s="37"/>
      <c r="D44" s="6"/>
      <c r="E44" s="6"/>
    </row>
    <row r="45" spans="1:7" ht="20.25">
      <c r="A45" s="5"/>
      <c r="B45" s="5"/>
      <c r="C45" s="5" t="s">
        <v>36</v>
      </c>
      <c r="D45" s="5"/>
      <c r="E45" s="5"/>
    </row>
    <row r="46" spans="1:7" ht="20.25">
      <c r="A46" s="5"/>
      <c r="B46" s="5"/>
      <c r="C46" s="5" t="s">
        <v>320</v>
      </c>
    </row>
  </sheetData>
  <mergeCells count="63">
    <mergeCell ref="A1:E1"/>
    <mergeCell ref="A2:E2"/>
    <mergeCell ref="A3:E3"/>
    <mergeCell ref="A4:E4"/>
    <mergeCell ref="B5:B6"/>
    <mergeCell ref="C5:C6"/>
    <mergeCell ref="D5:D6"/>
    <mergeCell ref="A7:A9"/>
    <mergeCell ref="B7:B9"/>
    <mergeCell ref="C7:C9"/>
    <mergeCell ref="D7:D9"/>
    <mergeCell ref="A10:A11"/>
    <mergeCell ref="B10:B11"/>
    <mergeCell ref="C10:C11"/>
    <mergeCell ref="D10:D11"/>
    <mergeCell ref="A12:A14"/>
    <mergeCell ref="B12:B14"/>
    <mergeCell ref="C12:C14"/>
    <mergeCell ref="D12:D14"/>
    <mergeCell ref="A15:A17"/>
    <mergeCell ref="B15:B17"/>
    <mergeCell ref="C15:C17"/>
    <mergeCell ref="D15:D17"/>
    <mergeCell ref="A18:A20"/>
    <mergeCell ref="B18:B20"/>
    <mergeCell ref="C18:C20"/>
    <mergeCell ref="D18:D20"/>
    <mergeCell ref="A21:A22"/>
    <mergeCell ref="B21:B22"/>
    <mergeCell ref="C21:C22"/>
    <mergeCell ref="D21:D22"/>
    <mergeCell ref="A23:A25"/>
    <mergeCell ref="B23:B25"/>
    <mergeCell ref="C23:C25"/>
    <mergeCell ref="D23:D25"/>
    <mergeCell ref="A26:A27"/>
    <mergeCell ref="B26:B27"/>
    <mergeCell ref="C26:C27"/>
    <mergeCell ref="D26:D27"/>
    <mergeCell ref="A28:A30"/>
    <mergeCell ref="B28:B30"/>
    <mergeCell ref="C28:C30"/>
    <mergeCell ref="D28:D30"/>
    <mergeCell ref="A31:A32"/>
    <mergeCell ref="B31:B32"/>
    <mergeCell ref="C31:C32"/>
    <mergeCell ref="D31:D32"/>
    <mergeCell ref="A33:A35"/>
    <mergeCell ref="B33:B35"/>
    <mergeCell ref="C33:C35"/>
    <mergeCell ref="D33:D35"/>
    <mergeCell ref="A36:A37"/>
    <mergeCell ref="B36:B37"/>
    <mergeCell ref="C36:C37"/>
    <mergeCell ref="D36:D37"/>
    <mergeCell ref="E40:E41"/>
    <mergeCell ref="A43:C44"/>
    <mergeCell ref="A38:A39"/>
    <mergeCell ref="B38:B39"/>
    <mergeCell ref="C38:C39"/>
    <mergeCell ref="D38:D39"/>
    <mergeCell ref="A40:C41"/>
    <mergeCell ref="D40:D41"/>
  </mergeCells>
  <dataValidations count="13">
    <dataValidation type="list" allowBlank="1" showInputMessage="1" showErrorMessage="1" sqref="C7:C9">
      <formula1>$G$7:$G$9</formula1>
    </dataValidation>
    <dataValidation type="list" allowBlank="1" showInputMessage="1" showErrorMessage="1" sqref="C10:C11">
      <formula1>$G$10:$G$11</formula1>
    </dataValidation>
    <dataValidation type="list" allowBlank="1" showInputMessage="1" showErrorMessage="1" sqref="C12:C14">
      <formula1>$G$12:$G$14</formula1>
    </dataValidation>
    <dataValidation type="list" allowBlank="1" showInputMessage="1" showErrorMessage="1" sqref="C15:C17">
      <formula1>$G$15:$G$17</formula1>
    </dataValidation>
    <dataValidation type="list" allowBlank="1" showInputMessage="1" showErrorMessage="1" sqref="C18:C20">
      <formula1>$G$18:$G$20</formula1>
    </dataValidation>
    <dataValidation type="list" allowBlank="1" showInputMessage="1" showErrorMessage="1" sqref="C21:C22">
      <formula1>$G$21:$G$22</formula1>
    </dataValidation>
    <dataValidation type="list" allowBlank="1" showInputMessage="1" showErrorMessage="1" sqref="C23:C25">
      <formula1>$G$23:$G$25</formula1>
    </dataValidation>
    <dataValidation type="list" allowBlank="1" showInputMessage="1" showErrorMessage="1" sqref="C26:C27">
      <formula1>$G$26:$G$27</formula1>
    </dataValidation>
    <dataValidation type="list" allowBlank="1" showInputMessage="1" showErrorMessage="1" sqref="C28:C30">
      <formula1>$G$28:$G$30</formula1>
    </dataValidation>
    <dataValidation type="list" allowBlank="1" showInputMessage="1" showErrorMessage="1" sqref="C31:C32">
      <formula1>$G$31:$G$32</formula1>
    </dataValidation>
    <dataValidation type="list" allowBlank="1" showInputMessage="1" showErrorMessage="1" sqref="C33:C35">
      <formula1>$G$33:$G$35</formula1>
    </dataValidation>
    <dataValidation type="list" allowBlank="1" showInputMessage="1" showErrorMessage="1" sqref="C36:C37">
      <formula1>$G$36:$G$37</formula1>
    </dataValidation>
    <dataValidation type="list" allowBlank="1" showInputMessage="1" showErrorMessage="1" sqref="C38:C39">
      <formula1>$G$38:$G$39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theme="1"/>
  </sheetPr>
  <dimension ref="A1:F51"/>
  <sheetViews>
    <sheetView zoomScale="55" zoomScaleNormal="55" workbookViewId="0">
      <selection activeCell="E1" sqref="E1:F1048576"/>
    </sheetView>
  </sheetViews>
  <sheetFormatPr defaultRowHeight="15"/>
  <cols>
    <col min="2" max="2" width="26" customWidth="1"/>
    <col min="3" max="3" width="58.5703125" customWidth="1"/>
    <col min="4" max="4" width="31.5703125" customWidth="1"/>
    <col min="5" max="5" width="33.85546875" hidden="1" customWidth="1"/>
    <col min="6" max="6" width="31.5703125" hidden="1" customWidth="1"/>
    <col min="7" max="7" width="31.5703125" customWidth="1"/>
  </cols>
  <sheetData>
    <row r="1" spans="1:5" ht="20.25">
      <c r="A1" s="56" t="s">
        <v>0</v>
      </c>
      <c r="B1" s="56"/>
      <c r="C1" s="56"/>
      <c r="D1" s="56"/>
      <c r="E1" s="11"/>
    </row>
    <row r="2" spans="1:5" ht="18.75">
      <c r="A2" s="57" t="s">
        <v>1</v>
      </c>
      <c r="B2" s="57"/>
      <c r="C2" s="57"/>
      <c r="D2" s="57"/>
      <c r="E2" s="12"/>
    </row>
    <row r="3" spans="1:5" ht="18.75" customHeight="1">
      <c r="A3" s="58" t="s">
        <v>306</v>
      </c>
      <c r="B3" s="57"/>
      <c r="C3" s="57"/>
      <c r="D3" s="57"/>
      <c r="E3" s="57"/>
    </row>
    <row r="4" spans="1:5" ht="16.5" thickBot="1">
      <c r="A4" s="59"/>
      <c r="B4" s="59"/>
      <c r="C4" s="59"/>
      <c r="D4" s="59"/>
      <c r="E4" s="59"/>
    </row>
    <row r="5" spans="1:5" ht="15.75">
      <c r="A5" s="2" t="s">
        <v>3</v>
      </c>
      <c r="B5" s="60" t="s">
        <v>54</v>
      </c>
      <c r="C5" s="60" t="s">
        <v>55</v>
      </c>
      <c r="D5" s="60" t="s">
        <v>42</v>
      </c>
    </row>
    <row r="6" spans="1:5" ht="16.5" thickBot="1">
      <c r="A6" s="4" t="s">
        <v>4</v>
      </c>
      <c r="B6" s="61"/>
      <c r="C6" s="61"/>
      <c r="D6" s="61"/>
    </row>
    <row r="7" spans="1:5" ht="16.5" customHeight="1">
      <c r="A7" s="39" t="s">
        <v>5</v>
      </c>
      <c r="B7" s="44" t="s">
        <v>6</v>
      </c>
      <c r="C7" s="44" t="s">
        <v>348</v>
      </c>
      <c r="D7" s="44">
        <f>IF(IFERROR(SEARCH("подразделения ≥ 4,5", C7), 0) &gt; 0, 5, IF(IFERROR(SEARCH("подразделения ≥ 4,0", C7), 0) &gt; 0, 3, IF(IFERROR(SEARCH("&lt;", C7), 0) &gt; 0, 0,)))</f>
        <v>0</v>
      </c>
      <c r="E7" s="16" t="s">
        <v>346</v>
      </c>
    </row>
    <row r="8" spans="1:5" ht="14.25" customHeight="1">
      <c r="A8" s="51"/>
      <c r="B8" s="54"/>
      <c r="C8" s="52"/>
      <c r="D8" s="52"/>
      <c r="E8" s="17" t="s">
        <v>347</v>
      </c>
    </row>
    <row r="9" spans="1:5" ht="18" customHeight="1" thickBot="1">
      <c r="A9" s="40"/>
      <c r="B9" s="55"/>
      <c r="C9" s="45"/>
      <c r="D9" s="45"/>
      <c r="E9" s="18" t="s">
        <v>348</v>
      </c>
    </row>
    <row r="10" spans="1:5">
      <c r="A10" s="39" t="s">
        <v>7</v>
      </c>
      <c r="B10" s="44" t="s">
        <v>8</v>
      </c>
      <c r="C10" s="41" t="s">
        <v>71</v>
      </c>
      <c r="D10" s="44">
        <f>IF(C10="В подразделении и у старшины курса отсутствуют академические задолжности",10,0)</f>
        <v>10</v>
      </c>
    </row>
    <row r="11" spans="1:5" ht="26.25" customHeight="1" thickBot="1">
      <c r="A11" s="40"/>
      <c r="B11" s="45"/>
      <c r="C11" s="43"/>
      <c r="D11" s="45"/>
    </row>
    <row r="12" spans="1:5">
      <c r="A12" s="39" t="s">
        <v>9</v>
      </c>
      <c r="B12" s="44" t="s">
        <v>10</v>
      </c>
      <c r="C12" s="41" t="s">
        <v>340</v>
      </c>
      <c r="D12" s="44">
        <f>IF(C12="Текущие задолжности в подразделении и старшины курса отсутствуют",5,IF(C12="Имеются менее 10% задолжностей в подразделении или у старшины курса",3,IF(C12="Имеютя более 10% задолжностей в подразделении или старшины курса",0,)))</f>
        <v>0</v>
      </c>
    </row>
    <row r="13" spans="1:5">
      <c r="A13" s="51"/>
      <c r="B13" s="52"/>
      <c r="C13" s="53"/>
      <c r="D13" s="52"/>
    </row>
    <row r="14" spans="1:5" ht="30.75" customHeight="1" thickBot="1">
      <c r="A14" s="40"/>
      <c r="B14" s="45"/>
      <c r="C14" s="43"/>
      <c r="D14" s="45"/>
    </row>
    <row r="15" spans="1:5">
      <c r="A15" s="39" t="s">
        <v>11</v>
      </c>
      <c r="B15" s="44" t="s">
        <v>12</v>
      </c>
      <c r="C15" s="41" t="s">
        <v>334</v>
      </c>
      <c r="D15" s="44">
        <f>IF(C15="Замечаний нет",5,0)</f>
        <v>5</v>
      </c>
    </row>
    <row r="16" spans="1:5" ht="15.75" customHeight="1">
      <c r="A16" s="51"/>
      <c r="B16" s="52"/>
      <c r="C16" s="53"/>
      <c r="D16" s="52"/>
    </row>
    <row r="17" spans="1:4" ht="87.75" customHeight="1" thickBot="1">
      <c r="A17" s="40"/>
      <c r="B17" s="45"/>
      <c r="C17" s="43"/>
      <c r="D17" s="45"/>
    </row>
    <row r="18" spans="1:4">
      <c r="A18" s="39" t="s">
        <v>13</v>
      </c>
      <c r="B18" s="44" t="s">
        <v>14</v>
      </c>
      <c r="C18" s="41" t="s">
        <v>337</v>
      </c>
      <c r="D18" s="44">
        <f>IF(C18="ПРО, ПРЕ, ГДП в подразделении и старшины курса отсутствуют",10,IF(C18="ПРО, ПРЕ отсутствуют, имеются не снятые взыскания за ГДП в подразделении, у старшины курса отсутствуют",2,IF(C18="Совершено ПРО, ПРЕ, ГДП в подразделении или старшины курса или допущено сокрытие",0,)))</f>
        <v>2</v>
      </c>
    </row>
    <row r="19" spans="1:4">
      <c r="A19" s="51"/>
      <c r="B19" s="52"/>
      <c r="C19" s="53"/>
      <c r="D19" s="52"/>
    </row>
    <row r="20" spans="1:4" ht="38.25" customHeight="1" thickBot="1">
      <c r="A20" s="40"/>
      <c r="B20" s="45"/>
      <c r="C20" s="43"/>
      <c r="D20" s="45"/>
    </row>
    <row r="21" spans="1:4">
      <c r="A21" s="39" t="s">
        <v>15</v>
      </c>
      <c r="B21" s="44" t="s">
        <v>16</v>
      </c>
      <c r="C21" s="41" t="s">
        <v>57</v>
      </c>
      <c r="D21" s="44">
        <f>IF(C21="Дисциплинарная практика к подчиненному личному составу ведется",5,0)</f>
        <v>5</v>
      </c>
    </row>
    <row r="22" spans="1:4" ht="33.75" customHeight="1" thickBot="1">
      <c r="A22" s="40"/>
      <c r="B22" s="45"/>
      <c r="C22" s="43"/>
      <c r="D22" s="45"/>
    </row>
    <row r="23" spans="1:4">
      <c r="A23" s="39" t="s">
        <v>17</v>
      </c>
      <c r="B23" s="44" t="s">
        <v>18</v>
      </c>
      <c r="C23" s="41" t="s">
        <v>60</v>
      </c>
      <c r="D23" s="44">
        <f>IF(C23="Обстановкой владеет, доклады представляет, книжка сержантов актуальна",10,IF(C23="Обстановкой владеет, доклады представляет, книжка сержантов не актуальна",5,IF(C23="Обстановкой не владеет, доклады не представляет, книжка сержантов не актуальна",0,)))</f>
        <v>10</v>
      </c>
    </row>
    <row r="24" spans="1:4">
      <c r="A24" s="51"/>
      <c r="B24" s="52"/>
      <c r="C24" s="53"/>
      <c r="D24" s="52"/>
    </row>
    <row r="25" spans="1:4" ht="89.25" customHeight="1" thickBot="1">
      <c r="A25" s="40"/>
      <c r="B25" s="45"/>
      <c r="C25" s="43"/>
      <c r="D25" s="45"/>
    </row>
    <row r="26" spans="1:4">
      <c r="A26" s="39" t="s">
        <v>20</v>
      </c>
      <c r="B26" s="44" t="s">
        <v>43</v>
      </c>
      <c r="C26" s="44" t="s">
        <v>69</v>
      </c>
      <c r="D26" s="44">
        <f>IF(C26="Увольнения между учебными группами распределены равномерно",2,0)</f>
        <v>2</v>
      </c>
    </row>
    <row r="27" spans="1:4" ht="15.75" thickBot="1">
      <c r="A27" s="40"/>
      <c r="B27" s="45"/>
      <c r="C27" s="45"/>
      <c r="D27" s="45"/>
    </row>
    <row r="28" spans="1:4">
      <c r="A28" s="39" t="s">
        <v>23</v>
      </c>
      <c r="B28" s="44" t="s">
        <v>44</v>
      </c>
      <c r="C28" s="44" t="s">
        <v>61</v>
      </c>
      <c r="D28" s="44">
        <f>IF(C28="Наряды и уборщики распределены равномерно",2,IF(C28="Наряды распределены равномерно, уборщики не равномерно",1,IF(C28="Наряды и уборщики распределены не равномерно",0,)))</f>
        <v>2</v>
      </c>
    </row>
    <row r="29" spans="1:4">
      <c r="A29" s="51"/>
      <c r="B29" s="52"/>
      <c r="C29" s="52"/>
      <c r="D29" s="52"/>
    </row>
    <row r="30" spans="1:4" ht="41.25" customHeight="1" thickBot="1">
      <c r="A30" s="40"/>
      <c r="B30" s="45"/>
      <c r="C30" s="45"/>
      <c r="D30" s="45"/>
    </row>
    <row r="31" spans="1:4" ht="47.25" customHeight="1">
      <c r="A31" s="39" t="s">
        <v>25</v>
      </c>
      <c r="B31" s="44" t="s">
        <v>51</v>
      </c>
      <c r="C31" s="41" t="s">
        <v>63</v>
      </c>
      <c r="D31" s="44">
        <f>IF(C31="Подготовка проведена, на разводе замечаний нет",5,IF(C31="Подготовка проведена, на разводе более трех замечаний",3,IF(C31="Подготовка не проведена, на разводе более трех замечаний или личный состав не допущен",0,)))</f>
        <v>5</v>
      </c>
    </row>
    <row r="32" spans="1:4">
      <c r="A32" s="51"/>
      <c r="B32" s="52"/>
      <c r="C32" s="53"/>
      <c r="D32" s="52"/>
    </row>
    <row r="33" spans="1:5" ht="7.5" customHeight="1" thickBot="1">
      <c r="A33" s="40"/>
      <c r="B33" s="45"/>
      <c r="C33" s="43"/>
      <c r="D33" s="45"/>
    </row>
    <row r="34" spans="1:5">
      <c r="A34" s="39" t="s">
        <v>27</v>
      </c>
      <c r="B34" s="44" t="s">
        <v>24</v>
      </c>
      <c r="C34" s="41" t="s">
        <v>64</v>
      </c>
      <c r="D34" s="44">
        <f>IF(C34="Замечаний нет, оценка старшине не ниже «хорошо»",5,IF(C34="Замечаний не более пяти, оценка старшине не ниже «хорошо»",3,IF(C34="Замечаний более пяти или наряд отстранен, оценка старшине ниже «хорошо»",0,)))</f>
        <v>3</v>
      </c>
    </row>
    <row r="35" spans="1:5">
      <c r="A35" s="51"/>
      <c r="B35" s="52"/>
      <c r="C35" s="53"/>
      <c r="D35" s="52"/>
    </row>
    <row r="36" spans="1:5" ht="39" customHeight="1" thickBot="1">
      <c r="A36" s="40"/>
      <c r="B36" s="45"/>
      <c r="C36" s="43"/>
      <c r="D36" s="45"/>
    </row>
    <row r="37" spans="1:5">
      <c r="A37" s="39" t="s">
        <v>29</v>
      </c>
      <c r="B37" s="44" t="s">
        <v>26</v>
      </c>
      <c r="C37" s="41" t="s">
        <v>65</v>
      </c>
      <c r="D37" s="44">
        <f>IF(C37="Нарушений ТБ, приведших к травматизму л/с нет",10,0)</f>
        <v>10</v>
      </c>
    </row>
    <row r="38" spans="1:5" ht="40.5" customHeight="1" thickBot="1">
      <c r="A38" s="40"/>
      <c r="B38" s="45"/>
      <c r="C38" s="43"/>
      <c r="D38" s="45"/>
    </row>
    <row r="39" spans="1:5">
      <c r="A39" s="39" t="s">
        <v>32</v>
      </c>
      <c r="B39" s="44" t="s">
        <v>28</v>
      </c>
      <c r="C39" s="41" t="s">
        <v>52</v>
      </c>
      <c r="D39" s="44">
        <f>IF(C39="Элементы распорядка дня соблюдаются",10,IF(C39="Не более пяти нарушений распорядка дня, срывов мероприятий не допущено",5,IF(C39="Более пяти нарушений элементов распорядка дня или мероприятие сорвано »",0,)))</f>
        <v>10</v>
      </c>
    </row>
    <row r="40" spans="1:5">
      <c r="A40" s="51"/>
      <c r="B40" s="52"/>
      <c r="C40" s="53"/>
      <c r="D40" s="52"/>
    </row>
    <row r="41" spans="1:5" ht="15.75" thickBot="1">
      <c r="A41" s="40"/>
      <c r="B41" s="45"/>
      <c r="C41" s="43"/>
      <c r="D41" s="45"/>
    </row>
    <row r="42" spans="1:5">
      <c r="A42" s="39" t="s">
        <v>45</v>
      </c>
      <c r="B42" s="41" t="s">
        <v>30</v>
      </c>
      <c r="C42" s="41" t="s">
        <v>31</v>
      </c>
      <c r="D42" s="44">
        <f>IF(C42="Материальные средства подразделения в наличии, исправны, обслужены, хранятся правильно",5,0)</f>
        <v>5</v>
      </c>
    </row>
    <row r="43" spans="1:5" ht="39.75" customHeight="1" thickBot="1">
      <c r="A43" s="40"/>
      <c r="B43" s="42"/>
      <c r="C43" s="43"/>
      <c r="D43" s="45"/>
    </row>
    <row r="44" spans="1:5">
      <c r="A44" s="39" t="s">
        <v>46</v>
      </c>
      <c r="B44" s="41" t="s">
        <v>53</v>
      </c>
      <c r="C44" s="41" t="s">
        <v>49</v>
      </c>
      <c r="D44" s="44">
        <f>IF(C44="Оценка по физической подготовке (культуре) - 5",2,1)</f>
        <v>2</v>
      </c>
    </row>
    <row r="45" spans="1:5" ht="95.25" customHeight="1" thickBot="1">
      <c r="A45" s="40"/>
      <c r="B45" s="42"/>
      <c r="C45" s="43"/>
      <c r="D45" s="45"/>
    </row>
    <row r="46" spans="1:5" ht="15.75">
      <c r="A46" s="46" t="s">
        <v>34</v>
      </c>
      <c r="B46" s="47"/>
      <c r="C46" s="47"/>
      <c r="D46" s="50">
        <f>SUM(D7:D45)</f>
        <v>71</v>
      </c>
      <c r="E46" s="8"/>
    </row>
    <row r="47" spans="1:5" ht="16.5" thickBot="1">
      <c r="A47" s="48"/>
      <c r="B47" s="49"/>
      <c r="C47" s="49"/>
      <c r="D47" s="42"/>
      <c r="E47" s="8"/>
    </row>
    <row r="49" spans="1:5" ht="20.25">
      <c r="A49" s="37" t="s">
        <v>35</v>
      </c>
      <c r="B49" s="37"/>
      <c r="C49" s="37"/>
      <c r="D49" s="5"/>
      <c r="E49" s="5"/>
    </row>
    <row r="50" spans="1:5" ht="20.25">
      <c r="A50" s="38" t="s">
        <v>36</v>
      </c>
      <c r="B50" s="38"/>
      <c r="C50" s="38"/>
      <c r="D50" s="6"/>
      <c r="E50" s="6"/>
    </row>
    <row r="51" spans="1:5" ht="21">
      <c r="A51" s="9"/>
      <c r="B51" s="9"/>
      <c r="C51" s="5" t="s">
        <v>307</v>
      </c>
      <c r="D51" s="5"/>
      <c r="E51" s="9"/>
    </row>
  </sheetData>
  <mergeCells count="71">
    <mergeCell ref="A1:D1"/>
    <mergeCell ref="A2:D2"/>
    <mergeCell ref="A3:E3"/>
    <mergeCell ref="A4:E4"/>
    <mergeCell ref="B5:B6"/>
    <mergeCell ref="C5:C6"/>
    <mergeCell ref="D5:D6"/>
    <mergeCell ref="A7:A9"/>
    <mergeCell ref="B7:B9"/>
    <mergeCell ref="C7:C9"/>
    <mergeCell ref="D7:D9"/>
    <mergeCell ref="A10:A11"/>
    <mergeCell ref="B10:B11"/>
    <mergeCell ref="C10:C11"/>
    <mergeCell ref="D10:D11"/>
    <mergeCell ref="A12:A14"/>
    <mergeCell ref="B12:B14"/>
    <mergeCell ref="C12:C14"/>
    <mergeCell ref="D12:D14"/>
    <mergeCell ref="A15:A17"/>
    <mergeCell ref="B15:B17"/>
    <mergeCell ref="C15:C17"/>
    <mergeCell ref="D15:D17"/>
    <mergeCell ref="A18:A20"/>
    <mergeCell ref="B18:B20"/>
    <mergeCell ref="C18:C20"/>
    <mergeCell ref="D18:D20"/>
    <mergeCell ref="A21:A22"/>
    <mergeCell ref="B21:B22"/>
    <mergeCell ref="C21:C22"/>
    <mergeCell ref="D21:D22"/>
    <mergeCell ref="A23:A25"/>
    <mergeCell ref="B23:B25"/>
    <mergeCell ref="C23:C25"/>
    <mergeCell ref="D23:D25"/>
    <mergeCell ref="A26:A27"/>
    <mergeCell ref="B26:B27"/>
    <mergeCell ref="C26:C27"/>
    <mergeCell ref="D26:D27"/>
    <mergeCell ref="A28:A30"/>
    <mergeCell ref="B28:B30"/>
    <mergeCell ref="C28:C30"/>
    <mergeCell ref="D28:D30"/>
    <mergeCell ref="A31:A33"/>
    <mergeCell ref="B31:B33"/>
    <mergeCell ref="C31:C33"/>
    <mergeCell ref="D31:D33"/>
    <mergeCell ref="A34:A36"/>
    <mergeCell ref="B34:B36"/>
    <mergeCell ref="C34:C36"/>
    <mergeCell ref="D34:D36"/>
    <mergeCell ref="A37:A38"/>
    <mergeCell ref="B37:B38"/>
    <mergeCell ref="C37:C38"/>
    <mergeCell ref="D37:D38"/>
    <mergeCell ref="D44:D45"/>
    <mergeCell ref="A46:C47"/>
    <mergeCell ref="D46:D47"/>
    <mergeCell ref="A39:A41"/>
    <mergeCell ref="B39:B41"/>
    <mergeCell ref="C39:C41"/>
    <mergeCell ref="D39:D41"/>
    <mergeCell ref="A42:A43"/>
    <mergeCell ref="B42:B43"/>
    <mergeCell ref="C42:C43"/>
    <mergeCell ref="D42:D43"/>
    <mergeCell ref="A49:C49"/>
    <mergeCell ref="A50:C50"/>
    <mergeCell ref="A44:A45"/>
    <mergeCell ref="B44:B45"/>
    <mergeCell ref="C44:C45"/>
  </mergeCells>
  <dataValidations count="16">
    <dataValidation type="list" allowBlank="1" showInputMessage="1" showErrorMessage="1" sqref="C44:C45">
      <formula1>"Оценка по физической подготовке (культуре) - 5,Оценка по физической подготовке (культуре) - 4"</formula1>
    </dataValidation>
    <dataValidation type="list" allowBlank="1" showInputMessage="1" showErrorMessage="1" sqref="C42:C43">
      <formula1>"Материальные средства подразделения в наличии, исправны, обслужены, хранятся правильно,Не выполнены предъявляемые критерии "</formula1>
    </dataValidation>
    <dataValidation type="list" allowBlank="1" showInputMessage="1" showErrorMessage="1" sqref="C39:C41">
      <formula1>"Элементы распорядка дня соблюдаются,Не более пяти нарушений распорядка дня, срывов мероприятий не допущено,Более пяти нарушений элементов распорядка дня или мероприятие сорвано "</formula1>
    </dataValidation>
    <dataValidation type="list" allowBlank="1" showInputMessage="1" showErrorMessage="1" sqref="C37:C38">
      <formula1>"Нарушений ТБ, приведших к травматизму л/с нет,Есть нарушения ТБ, приведших к травматизму л/с"</formula1>
    </dataValidation>
    <dataValidation type="list" allowBlank="1" showInputMessage="1" showErrorMessage="1" sqref="C34:C36">
      <formula1>"Замечаний нет, оценка старшине не ниже «хорошо»,Замечаний не более пяти, оценка старшине не ниже «хорошо»,Замечаний более пяти или наряд отстранен, оценка старшине ниже «хорошо»"</formula1>
    </dataValidation>
    <dataValidation type="list" allowBlank="1" showInputMessage="1" showErrorMessage="1" sqref="C31:C33">
      <formula1>"Подготовка проведена, на разводе замечаний нет,Подготовка проведена, на разводе более трех замечаний,Подготовка не проведена, на разводе более трех замечаний или личный состав не допущен,"</formula1>
    </dataValidation>
    <dataValidation type="list" allowBlank="1" showInputMessage="1" showErrorMessage="1" sqref="C28:C30">
      <formula1>"Наряды и уборщики распределены равномерно,Наряды распределены равномерно, уборщики не равномерно,Наряды и уборщики распределены не равномерно"</formula1>
    </dataValidation>
    <dataValidation type="list" allowBlank="1" showInputMessage="1" showErrorMessage="1" sqref="C26:C27">
      <formula1>"Увольнения между учебными группами распределены равномерно,Увольнение между учебными группами распределены не равномерно"</formula1>
    </dataValidation>
    <dataValidation type="list" allowBlank="1" showInputMessage="1" showErrorMessage="1" sqref="C23:C25">
      <formula1>"Обстановкой владеет, доклады представляет, книжка сержантов актуальна,Обстановкой владеет, доклады представляет, книжка сержантов не актуальна,Обстановкой не владеет, доклады не представляет, книжка сержантов не актуальна"</formula1>
    </dataValidation>
    <dataValidation type="list" allowBlank="1" showInputMessage="1" showErrorMessage="1" sqref="G7">
      <formula1>"яблоко,ананас,кефир"</formula1>
    </dataValidation>
    <dataValidation type="list" allowBlank="1" showInputMessage="1" showErrorMessage="1" sqref="C21:C22">
      <formula1>"Дисциплинарная практика к подчиненному личному составу ведется,Дисциплинарная практика к подчиненному личному составу не реализуется или старшина курса имеет дисциплинарные взыскания"</formula1>
    </dataValidation>
    <dataValidation type="list" allowBlank="1" showInputMessage="1" showErrorMessage="1" sqref="C18:C20">
      <formula1>"ПРО, ПРЕ, ГДП в подразделении и старшины курса отсутствуют, ПРО, ПРЕ отсутствуют, имеются не снятые взыскания за ГДП в подразделении, у старшины курса отсутствуют, Совершено ПРО, ПРЕ, ГДП в подразделении или старшины курса или допущено сокрытие"</formula1>
    </dataValidation>
    <dataValidation type="list" allowBlank="1" showInputMessage="1" showErrorMessage="1" sqref="C15:C17">
      <formula1>"Замечаний нет,Имеются замечания"</formula1>
    </dataValidation>
    <dataValidation type="list" allowBlank="1" showInputMessage="1" showErrorMessage="1" sqref="C7:C9">
      <formula1>$E$7:$E$9</formula1>
    </dataValidation>
    <dataValidation type="list" allowBlank="1" showInputMessage="1" showErrorMessage="1" sqref="C12:C14">
      <formula1>"Текущие задолжности в подразделении и старшины курса отсутствуют,Имеются менее 10% задолжностей в подразделении или у старшины курса,Имеютя более 10% задолжностей в подразделении или старшины курса"</formula1>
    </dataValidation>
    <dataValidation type="list" allowBlank="1" showInputMessage="1" showErrorMessage="1" sqref="C10:C11">
      <formula1>"В подразделении и у старшины курса отсутствуют академические задолжности, Имеются задолжности в подразделении или у старшины курса"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theme="1"/>
  </sheetPr>
  <dimension ref="A1:L56"/>
  <sheetViews>
    <sheetView zoomScale="115" zoomScaleNormal="115" workbookViewId="0">
      <selection activeCell="C7" sqref="C7:C9"/>
    </sheetView>
  </sheetViews>
  <sheetFormatPr defaultRowHeight="15"/>
  <cols>
    <col min="2" max="2" width="26" customWidth="1"/>
    <col min="3" max="3" width="58.5703125" customWidth="1"/>
    <col min="4" max="4" width="28.5703125" customWidth="1"/>
    <col min="5" max="5" width="0.140625" customWidth="1"/>
    <col min="6" max="6" width="0.42578125" customWidth="1"/>
    <col min="7" max="11" width="9.140625" hidden="1" customWidth="1"/>
    <col min="12" max="12" width="12" hidden="1" customWidth="1"/>
    <col min="13" max="13" width="9.140625" customWidth="1"/>
  </cols>
  <sheetData>
    <row r="1" spans="1:12" ht="20.25">
      <c r="A1" s="56" t="s">
        <v>0</v>
      </c>
      <c r="B1" s="56"/>
      <c r="C1" s="56"/>
      <c r="D1" s="56"/>
      <c r="E1" s="56"/>
    </row>
    <row r="2" spans="1:12" ht="18.75">
      <c r="A2" s="57" t="s">
        <v>1</v>
      </c>
      <c r="B2" s="57"/>
      <c r="C2" s="57"/>
      <c r="D2" s="57"/>
      <c r="E2" s="57"/>
    </row>
    <row r="3" spans="1:12" ht="18.75" customHeight="1">
      <c r="A3" s="58" t="s">
        <v>318</v>
      </c>
      <c r="B3" s="57"/>
      <c r="C3" s="57"/>
      <c r="D3" s="57"/>
      <c r="E3" s="57"/>
    </row>
    <row r="4" spans="1:12" ht="16.5" thickBot="1">
      <c r="A4" s="59"/>
      <c r="B4" s="59"/>
      <c r="C4" s="59"/>
      <c r="D4" s="59"/>
      <c r="E4" s="59"/>
    </row>
    <row r="5" spans="1:12" ht="15.75" customHeight="1">
      <c r="A5" s="2" t="s">
        <v>3</v>
      </c>
      <c r="B5" s="60" t="s">
        <v>54</v>
      </c>
      <c r="C5" s="60" t="s">
        <v>55</v>
      </c>
      <c r="D5" s="60" t="s">
        <v>42</v>
      </c>
    </row>
    <row r="6" spans="1:12" ht="16.5" thickBot="1">
      <c r="A6" s="4" t="s">
        <v>4</v>
      </c>
      <c r="B6" s="61"/>
      <c r="C6" s="61"/>
      <c r="D6" s="61"/>
    </row>
    <row r="7" spans="1:12" ht="15" customHeight="1">
      <c r="A7" s="39" t="s">
        <v>5</v>
      </c>
      <c r="B7" s="44" t="s">
        <v>6</v>
      </c>
      <c r="C7" s="44" t="s">
        <v>345</v>
      </c>
      <c r="D7" s="44">
        <f>IF(IFERROR(SEARCH("подразделения ≥ 4,5", C7), 0) &gt; 0, 5, IF(IFERROR(SEARCH("подразделения ≥ 4,0", C7), 0) &gt; 0, 3, IF(IFERROR(SEARCH("&lt;", C7), 0) &gt; 0, 0,)))</f>
        <v>0</v>
      </c>
      <c r="F7">
        <v>5</v>
      </c>
      <c r="G7" s="16" t="s">
        <v>344</v>
      </c>
    </row>
    <row r="8" spans="1:12" ht="15" customHeight="1">
      <c r="A8" s="51"/>
      <c r="B8" s="54"/>
      <c r="C8" s="52"/>
      <c r="D8" s="52"/>
      <c r="F8">
        <v>3</v>
      </c>
      <c r="G8" s="17" t="s">
        <v>343</v>
      </c>
    </row>
    <row r="9" spans="1:12" ht="18.75" customHeight="1" thickBot="1">
      <c r="A9" s="40"/>
      <c r="B9" s="55"/>
      <c r="C9" s="45"/>
      <c r="D9" s="45"/>
      <c r="F9">
        <v>0</v>
      </c>
      <c r="G9" s="18" t="s">
        <v>345</v>
      </c>
    </row>
    <row r="10" spans="1:12" ht="15" customHeight="1">
      <c r="A10" s="39" t="s">
        <v>7</v>
      </c>
      <c r="B10" s="44" t="s">
        <v>8</v>
      </c>
      <c r="C10" s="44" t="s">
        <v>259</v>
      </c>
      <c r="D10" s="44">
        <f>IF(C10="Академические задолжности отсутствуют",10,0)</f>
        <v>10</v>
      </c>
      <c r="F10">
        <v>10</v>
      </c>
    </row>
    <row r="11" spans="1:12" ht="15.75" customHeight="1" thickBot="1">
      <c r="A11" s="40"/>
      <c r="B11" s="45"/>
      <c r="C11" s="45"/>
      <c r="D11" s="45"/>
      <c r="F11">
        <v>0</v>
      </c>
    </row>
    <row r="12" spans="1:12" ht="15" customHeight="1">
      <c r="A12" s="39" t="s">
        <v>9</v>
      </c>
      <c r="B12" s="44" t="s">
        <v>10</v>
      </c>
      <c r="C12" s="44" t="s">
        <v>266</v>
      </c>
      <c r="D12" s="44">
        <f>IF(C12="В подразделении и у КУГ отсутствуют текущие задолжности",5,IF(C12="Имеются менее 20% текущих задолжностей в подразделении или у КУГ",3,IF(C12="Имеются более 20% текущих задолжностей в подразделении или у КУГ",0,)))</f>
        <v>5</v>
      </c>
      <c r="F12">
        <v>5</v>
      </c>
    </row>
    <row r="13" spans="1:12" ht="15" customHeight="1">
      <c r="A13" s="51"/>
      <c r="B13" s="52"/>
      <c r="C13" s="52"/>
      <c r="D13" s="52"/>
      <c r="F13">
        <v>3</v>
      </c>
    </row>
    <row r="14" spans="1:12" ht="15.75" customHeight="1" thickBot="1">
      <c r="A14" s="40"/>
      <c r="B14" s="45"/>
      <c r="C14" s="45"/>
      <c r="D14" s="45"/>
      <c r="F14">
        <v>0</v>
      </c>
    </row>
    <row r="15" spans="1:12" ht="15" customHeight="1">
      <c r="A15" s="39" t="s">
        <v>11</v>
      </c>
      <c r="B15" s="44" t="s">
        <v>39</v>
      </c>
      <c r="C15" s="64" t="s">
        <v>40</v>
      </c>
      <c r="D15" s="44">
        <f>IF(C15="Подразделение прибыло на занятие своевременно; дежурный по аудитории назначен; ЖУУЗ и классная доска оформлены; литература, конспекты, ПЭВМ (по необходимости) получены; внутренний порядок в аудитории поддерживается",5,IF(C15="Подразделение прибыло на занятие своевременно; дежурный по аудитории назначен; литература, конспекты, ПЭВМ (по необходимости) получены; ЖУУЗ или классная доска оформлены не своевременно; или имеются отклонения по  внутреннему порядку в аудитории",3,IF(C15="одразделение опоздало на занятие; или ЖУУЗ и классная доска не оформлены; литература, конспекты, ПЭВМ (по необходимости) не получены; или внутренний порядок в аудитории не поддерживается ",0,)))</f>
        <v>5</v>
      </c>
      <c r="F15">
        <v>5</v>
      </c>
      <c r="L15" s="13" t="s">
        <v>40</v>
      </c>
    </row>
    <row r="16" spans="1:12" ht="15" customHeight="1">
      <c r="A16" s="51"/>
      <c r="B16" s="52"/>
      <c r="C16" s="62"/>
      <c r="D16" s="52"/>
      <c r="F16">
        <v>3</v>
      </c>
      <c r="L16" s="13" t="s">
        <v>77</v>
      </c>
    </row>
    <row r="17" spans="1:12" ht="52.5" customHeight="1" thickBot="1">
      <c r="A17" s="40"/>
      <c r="B17" s="45"/>
      <c r="C17" s="63"/>
      <c r="D17" s="45"/>
      <c r="F17">
        <v>0</v>
      </c>
      <c r="L17" t="s">
        <v>78</v>
      </c>
    </row>
    <row r="18" spans="1:12" ht="15" customHeight="1" thickBot="1">
      <c r="A18" s="39" t="s">
        <v>13</v>
      </c>
      <c r="B18" s="44" t="s">
        <v>41</v>
      </c>
      <c r="C18" s="64" t="s">
        <v>79</v>
      </c>
      <c r="D18" s="44">
        <f>IF(IFERROR(SEARCH("30%", C18), 0) &gt; 0, 5, IF(IFERROR(SEARCH("10%", C18), 0) &gt; 0, 3, IF(IFERROR(SEARCH("не получены", C18), 0) &gt; 0, 0,)))</f>
        <v>5</v>
      </c>
      <c r="F18">
        <v>10</v>
      </c>
      <c r="L18" s="14" t="s">
        <v>79</v>
      </c>
    </row>
    <row r="19" spans="1:12" ht="15" customHeight="1">
      <c r="A19" s="51"/>
      <c r="B19" s="52"/>
      <c r="C19" s="62"/>
      <c r="D19" s="52"/>
      <c r="F19">
        <v>2</v>
      </c>
      <c r="L19" s="13" t="s">
        <v>80</v>
      </c>
    </row>
    <row r="20" spans="1:12" ht="105" customHeight="1" thickBot="1">
      <c r="A20" s="40"/>
      <c r="B20" s="45"/>
      <c r="C20" s="63"/>
      <c r="D20" s="45"/>
      <c r="F20">
        <v>0</v>
      </c>
      <c r="L20" s="13" t="s">
        <v>81</v>
      </c>
    </row>
    <row r="21" spans="1:12" ht="15" customHeight="1">
      <c r="A21" s="39" t="s">
        <v>15</v>
      </c>
      <c r="B21" s="44" t="s">
        <v>12</v>
      </c>
      <c r="C21" s="41" t="s">
        <v>261</v>
      </c>
      <c r="D21" s="44">
        <f>IF(C21="Замечания в подразделении и у КУГ отсутствуют",5,IF(C21="В подразделении 2 замечания у КУГ отсутствуют",3,IF(C21="В подразделении 3 и более замечаний или замечания у КУГ",0,)))</f>
        <v>3</v>
      </c>
      <c r="F21">
        <v>5</v>
      </c>
    </row>
    <row r="22" spans="1:12" ht="15.75" customHeight="1">
      <c r="A22" s="51"/>
      <c r="B22" s="52"/>
      <c r="C22" s="53"/>
      <c r="D22" s="52"/>
      <c r="F22">
        <v>0</v>
      </c>
    </row>
    <row r="23" spans="1:12" ht="82.5" customHeight="1" thickBot="1">
      <c r="A23" s="40"/>
      <c r="B23" s="45"/>
      <c r="C23" s="43"/>
      <c r="D23" s="45"/>
      <c r="F23">
        <v>10</v>
      </c>
    </row>
    <row r="24" spans="1:12" ht="15" customHeight="1">
      <c r="A24" s="39" t="s">
        <v>17</v>
      </c>
      <c r="B24" s="44" t="s">
        <v>14</v>
      </c>
      <c r="C24" s="41" t="s">
        <v>74</v>
      </c>
      <c r="D24" s="44">
        <f>IF(C24="ПРО, ПРЕ, ГДП в подразделении и КУГ отсутствуют",10,IF(C24="ПРО, ПРЕ отсутствуют, имеются не снятые взыскания за ГДП в подразделении, у КУГ отсутствуют",2,IF(C24="Совершено ПРО, ПРЕ, ГДП в подразделении или КУГ или допущено сокрытие",0,)))</f>
        <v>2</v>
      </c>
      <c r="F24">
        <v>5</v>
      </c>
    </row>
    <row r="25" spans="1:12" ht="15.75" customHeight="1">
      <c r="A25" s="51"/>
      <c r="B25" s="52"/>
      <c r="C25" s="53"/>
      <c r="D25" s="52"/>
      <c r="F25">
        <v>0</v>
      </c>
    </row>
    <row r="26" spans="1:12" ht="52.5" customHeight="1" thickBot="1">
      <c r="A26" s="40"/>
      <c r="B26" s="45"/>
      <c r="C26" s="43"/>
      <c r="D26" s="45"/>
      <c r="F26">
        <v>3</v>
      </c>
    </row>
    <row r="27" spans="1:12" ht="15.75" customHeight="1">
      <c r="A27" s="39" t="s">
        <v>20</v>
      </c>
      <c r="B27" s="44" t="s">
        <v>16</v>
      </c>
      <c r="C27" s="41" t="s">
        <v>57</v>
      </c>
      <c r="D27" s="44">
        <f>IF(C27="Дисциплинарная практика к подчиненному личному составу ведется",5,0)</f>
        <v>5</v>
      </c>
      <c r="F27">
        <v>0</v>
      </c>
    </row>
    <row r="28" spans="1:12" ht="15" customHeight="1" thickBot="1">
      <c r="A28" s="40"/>
      <c r="B28" s="45"/>
      <c r="C28" s="43"/>
      <c r="D28" s="45"/>
      <c r="F28">
        <v>5</v>
      </c>
    </row>
    <row r="29" spans="1:12" ht="15" customHeight="1">
      <c r="A29" s="39" t="s">
        <v>23</v>
      </c>
      <c r="B29" s="44" t="s">
        <v>18</v>
      </c>
      <c r="C29" s="41" t="s">
        <v>60</v>
      </c>
      <c r="D29" s="44">
        <f>IF(C29="Обстановкой владеет, доклады представляет, книжка сержантов актуальна",10,IF(C29="Обстановкой владеет, доклады представляет, книжка сержантов не актуальна",5,IF(C29="Обстановкой не владеет, доклады не представляет, книжка сержантов не актуальна",0,)))</f>
        <v>10</v>
      </c>
      <c r="F29">
        <v>3</v>
      </c>
    </row>
    <row r="30" spans="1:12" ht="15.75" customHeight="1">
      <c r="A30" s="51"/>
      <c r="B30" s="52"/>
      <c r="C30" s="53"/>
      <c r="D30" s="52"/>
      <c r="F30">
        <v>0</v>
      </c>
    </row>
    <row r="31" spans="1:12" ht="105" customHeight="1" thickBot="1">
      <c r="A31" s="40"/>
      <c r="B31" s="45"/>
      <c r="C31" s="43"/>
      <c r="D31" s="45"/>
      <c r="F31">
        <v>10</v>
      </c>
    </row>
    <row r="32" spans="1:12" ht="26.25" customHeight="1">
      <c r="A32" s="39" t="s">
        <v>25</v>
      </c>
      <c r="B32" s="44" t="s">
        <v>21</v>
      </c>
      <c r="C32" s="41" t="s">
        <v>75</v>
      </c>
      <c r="D32" s="44">
        <f>IF(C32="Подведение итогов актуально, поставлены конкретные задачи и проводится в установленное время",3,0)</f>
        <v>3</v>
      </c>
      <c r="F32">
        <v>0</v>
      </c>
    </row>
    <row r="33" spans="1:6" ht="30" customHeight="1" thickBot="1">
      <c r="A33" s="40"/>
      <c r="B33" s="45"/>
      <c r="C33" s="43"/>
      <c r="D33" s="45"/>
      <c r="F33">
        <v>10</v>
      </c>
    </row>
    <row r="34" spans="1:6" ht="15" customHeight="1">
      <c r="A34" s="51" t="s">
        <v>27</v>
      </c>
      <c r="B34" s="52" t="s">
        <v>43</v>
      </c>
      <c r="C34" s="41" t="s">
        <v>263</v>
      </c>
      <c r="D34" s="62">
        <f>IF(C34="Увольнения распределены равномерно",2,0)</f>
        <v>2</v>
      </c>
      <c r="F34">
        <v>5</v>
      </c>
    </row>
    <row r="35" spans="1:6" ht="15.75" customHeight="1" thickBot="1">
      <c r="A35" s="40"/>
      <c r="B35" s="45"/>
      <c r="C35" s="43"/>
      <c r="D35" s="63"/>
      <c r="F35">
        <v>0</v>
      </c>
    </row>
    <row r="36" spans="1:6" ht="15" customHeight="1">
      <c r="A36" s="39" t="s">
        <v>29</v>
      </c>
      <c r="B36" s="44" t="s">
        <v>44</v>
      </c>
      <c r="C36" s="44" t="s">
        <v>61</v>
      </c>
      <c r="D36" s="64">
        <f>IF(C36="Наряды и уборщики распределены равномерно",2,IF(C36="Наряды распределены равномерно, уборщики не равномерно",1,IF(C36="Наряды и уборщики распределены не равномерно",0,)))</f>
        <v>2</v>
      </c>
      <c r="F36">
        <v>5</v>
      </c>
    </row>
    <row r="37" spans="1:6" ht="15.75" customHeight="1">
      <c r="A37" s="51"/>
      <c r="B37" s="52"/>
      <c r="C37" s="52"/>
      <c r="D37" s="62"/>
      <c r="F37">
        <v>0</v>
      </c>
    </row>
    <row r="38" spans="1:6" ht="38.25" customHeight="1" thickBot="1">
      <c r="A38" s="40"/>
      <c r="B38" s="45"/>
      <c r="C38" s="45"/>
      <c r="D38" s="63"/>
      <c r="F38">
        <v>2</v>
      </c>
    </row>
    <row r="39" spans="1:6" ht="15.75" customHeight="1">
      <c r="A39" s="39" t="s">
        <v>32</v>
      </c>
      <c r="B39" s="44" t="s">
        <v>24</v>
      </c>
      <c r="C39" s="41" t="s">
        <v>336</v>
      </c>
      <c r="D39" s="44">
        <f>IF(C39="Замечания у подчиненного л/с отсутствуют, КУГ оценен не ниже «хорошо»",5,IF(C39="Выявлено не более 2 замечаний у подчиненного л/с, КУГ оценен не ниже «хорошо»",3,IF(C39="Л/с отстранен или выявлено более 2 замечаний, КУГ оценен ниже «хорошо»",0,)))</f>
        <v>3</v>
      </c>
      <c r="F39">
        <v>1</v>
      </c>
    </row>
    <row r="40" spans="1:6" ht="15" customHeight="1">
      <c r="A40" s="51"/>
      <c r="B40" s="52"/>
      <c r="C40" s="53"/>
      <c r="D40" s="52"/>
    </row>
    <row r="41" spans="1:6" ht="40.5" customHeight="1" thickBot="1">
      <c r="A41" s="40"/>
      <c r="B41" s="45"/>
      <c r="C41" s="43"/>
      <c r="D41" s="45"/>
    </row>
    <row r="42" spans="1:6">
      <c r="A42" s="39" t="s">
        <v>45</v>
      </c>
      <c r="B42" s="44" t="s">
        <v>26</v>
      </c>
      <c r="C42" s="41" t="s">
        <v>65</v>
      </c>
      <c r="D42" s="44">
        <f>IF(C42="Нарушений ТБ, приведших к травматизму л/с нет",10,0)</f>
        <v>10</v>
      </c>
    </row>
    <row r="43" spans="1:6" ht="44.25" customHeight="1" thickBot="1">
      <c r="A43" s="40"/>
      <c r="B43" s="45"/>
      <c r="C43" s="43"/>
      <c r="D43" s="45"/>
    </row>
    <row r="44" spans="1:6">
      <c r="A44" s="39" t="s">
        <v>46</v>
      </c>
      <c r="B44" s="44" t="s">
        <v>28</v>
      </c>
      <c r="C44" s="41" t="s">
        <v>52</v>
      </c>
      <c r="D44" s="44">
        <f>IF(C44="Элементы распорядка дня соблюдаются",10,IF(C44="Не более пяти нарушений распорядка дня, срывов мероприятий не допущено",5,IF(C44="Более пяти нарушений элементов распорядка дня или мероприятие сорвано",0,)))</f>
        <v>10</v>
      </c>
    </row>
    <row r="45" spans="1:6">
      <c r="A45" s="51"/>
      <c r="B45" s="52"/>
      <c r="C45" s="53"/>
      <c r="D45" s="52"/>
    </row>
    <row r="46" spans="1:6" ht="15.75" thickBot="1">
      <c r="A46" s="40"/>
      <c r="B46" s="45"/>
      <c r="C46" s="43"/>
      <c r="D46" s="45"/>
    </row>
    <row r="47" spans="1:6">
      <c r="A47" s="39" t="s">
        <v>47</v>
      </c>
      <c r="B47" s="44" t="s">
        <v>30</v>
      </c>
      <c r="C47" s="41" t="s">
        <v>31</v>
      </c>
      <c r="D47" s="44">
        <f>IF(C47="Материальные средства подразделения в наличии, исправны, обслужены, хранятся правильно",5,0)</f>
        <v>5</v>
      </c>
    </row>
    <row r="48" spans="1:6" ht="45" customHeight="1" thickBot="1">
      <c r="A48" s="40"/>
      <c r="B48" s="45"/>
      <c r="C48" s="43"/>
      <c r="D48" s="45"/>
    </row>
    <row r="49" spans="1:5">
      <c r="A49" s="39" t="s">
        <v>48</v>
      </c>
      <c r="B49" s="44" t="s">
        <v>33</v>
      </c>
      <c r="C49" s="41" t="s">
        <v>49</v>
      </c>
      <c r="D49" s="44">
        <f>IF(C49="Оценка по физической подготовке (культуре) - 5",2,1)</f>
        <v>2</v>
      </c>
    </row>
    <row r="50" spans="1:5" ht="97.5" customHeight="1" thickBot="1">
      <c r="A50" s="40"/>
      <c r="B50" s="45"/>
      <c r="C50" s="43"/>
      <c r="D50" s="45"/>
    </row>
    <row r="51" spans="1:5" ht="15.75">
      <c r="A51" s="46" t="s">
        <v>34</v>
      </c>
      <c r="B51" s="47"/>
      <c r="C51" s="47"/>
      <c r="D51" s="50">
        <f>SUM(D7:D50)</f>
        <v>82</v>
      </c>
      <c r="E51" s="8"/>
    </row>
    <row r="52" spans="1:5" ht="16.5" thickBot="1">
      <c r="A52" s="48"/>
      <c r="B52" s="49"/>
      <c r="C52" s="49"/>
      <c r="D52" s="42"/>
      <c r="E52" s="8"/>
    </row>
    <row r="54" spans="1:5" ht="20.25">
      <c r="A54" s="37" t="s">
        <v>35</v>
      </c>
      <c r="B54" s="37"/>
      <c r="C54" s="37"/>
      <c r="D54" s="37"/>
      <c r="E54" s="37"/>
    </row>
    <row r="55" spans="1:5" ht="20.25">
      <c r="A55" s="38" t="s">
        <v>36</v>
      </c>
      <c r="B55" s="38"/>
      <c r="C55" s="38"/>
      <c r="D55" s="38"/>
      <c r="E55" s="38"/>
    </row>
    <row r="56" spans="1:5" ht="21">
      <c r="A56" s="9"/>
      <c r="B56" s="9"/>
      <c r="C56" s="5" t="s">
        <v>308</v>
      </c>
      <c r="D56" s="5"/>
      <c r="E56" s="9"/>
    </row>
  </sheetData>
  <mergeCells count="79">
    <mergeCell ref="A1:E1"/>
    <mergeCell ref="A2:E2"/>
    <mergeCell ref="A3:E3"/>
    <mergeCell ref="A4:E4"/>
    <mergeCell ref="B5:B6"/>
    <mergeCell ref="C5:C6"/>
    <mergeCell ref="D5:D6"/>
    <mergeCell ref="A7:A9"/>
    <mergeCell ref="B7:B9"/>
    <mergeCell ref="C7:C9"/>
    <mergeCell ref="D7:D9"/>
    <mergeCell ref="A10:A11"/>
    <mergeCell ref="B10:B11"/>
    <mergeCell ref="C10:C11"/>
    <mergeCell ref="D10:D11"/>
    <mergeCell ref="A12:A14"/>
    <mergeCell ref="B12:B14"/>
    <mergeCell ref="C12:C14"/>
    <mergeCell ref="D12:D14"/>
    <mergeCell ref="A15:A17"/>
    <mergeCell ref="B15:B17"/>
    <mergeCell ref="C15:C17"/>
    <mergeCell ref="D15:D17"/>
    <mergeCell ref="A18:A20"/>
    <mergeCell ref="B18:B20"/>
    <mergeCell ref="C18:C20"/>
    <mergeCell ref="D18:D20"/>
    <mergeCell ref="A21:A23"/>
    <mergeCell ref="B21:B23"/>
    <mergeCell ref="C21:C23"/>
    <mergeCell ref="D21:D23"/>
    <mergeCell ref="A24:A26"/>
    <mergeCell ref="B24:B26"/>
    <mergeCell ref="C24:C26"/>
    <mergeCell ref="D24:D26"/>
    <mergeCell ref="A27:A28"/>
    <mergeCell ref="B27:B28"/>
    <mergeCell ref="C27:C28"/>
    <mergeCell ref="D27:D28"/>
    <mergeCell ref="A29:A31"/>
    <mergeCell ref="B29:B31"/>
    <mergeCell ref="C29:C31"/>
    <mergeCell ref="D29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8"/>
    <mergeCell ref="B36:B38"/>
    <mergeCell ref="C36:C38"/>
    <mergeCell ref="D36:D38"/>
    <mergeCell ref="A39:A41"/>
    <mergeCell ref="B39:B41"/>
    <mergeCell ref="C39:C41"/>
    <mergeCell ref="D39:D41"/>
    <mergeCell ref="A42:A43"/>
    <mergeCell ref="B42:B43"/>
    <mergeCell ref="C42:C43"/>
    <mergeCell ref="D42:D43"/>
    <mergeCell ref="A44:A46"/>
    <mergeCell ref="B44:B46"/>
    <mergeCell ref="C44:C46"/>
    <mergeCell ref="D44:D46"/>
    <mergeCell ref="A47:A48"/>
    <mergeCell ref="B47:B48"/>
    <mergeCell ref="C47:C48"/>
    <mergeCell ref="D47:D48"/>
    <mergeCell ref="A54:E54"/>
    <mergeCell ref="A55:E55"/>
    <mergeCell ref="A49:A50"/>
    <mergeCell ref="B49:B50"/>
    <mergeCell ref="C49:C50"/>
    <mergeCell ref="D49:D50"/>
    <mergeCell ref="A51:C52"/>
    <mergeCell ref="D51:D52"/>
  </mergeCells>
  <dataValidations count="17">
    <dataValidation type="list" allowBlank="1" showInputMessage="1" showErrorMessage="1" sqref="C18:C20">
      <formula1>$L$18:$L$20</formula1>
    </dataValidation>
    <dataValidation type="list" allowBlank="1" showInputMessage="1" showErrorMessage="1" sqref="C49:C50">
      <formula1>"Оценка по физической подготовке (культуре) - 5,Оценка по физической подготовке (культуре) - 4"</formula1>
    </dataValidation>
    <dataValidation type="list" allowBlank="1" showInputMessage="1" showErrorMessage="1" sqref="C47:C48">
      <formula1>"Материальные средства подразделения в наличии, исправны, обслужены, хранятся правильно,Не выполнены предъявляемые критерии "</formula1>
    </dataValidation>
    <dataValidation type="list" allowBlank="1" showInputMessage="1" showErrorMessage="1" sqref="C44:C46">
      <formula1>"Элементы распорядка дня соблюдаются,Не более пяти нарушений распорядка дня, срывов мероприятий не допущено,Более пяти нарушений элементов распорядка дня или мероприятие сорвано"</formula1>
    </dataValidation>
    <dataValidation type="list" allowBlank="1" showInputMessage="1" showErrorMessage="1" sqref="C42:C43">
      <formula1>"Нарушений ТБ, приведших к травматизму л/с нет,Есть нарушения ТБ, приведших к травматизму л/с"</formula1>
    </dataValidation>
    <dataValidation type="list" allowBlank="1" showInputMessage="1" showErrorMessage="1" sqref="C39:C41">
      <formula1>"Замечания у подчиненного л/с отсутствуют, КУГ оценен не ниже «хорошо»,Выявлено не более 2 замечаний у подчиненного л/с, КУГ оценен не ниже «хорошо»,Л/с отстранен или выявлено более 2 замечаний, КУГ оценен ниже «хорошо»,"</formula1>
    </dataValidation>
    <dataValidation type="list" allowBlank="1" showInputMessage="1" showErrorMessage="1" sqref="C36:C38">
      <formula1>"Наряды и уборщики распределены равномерно,Наряды распределены равномерно, уборщики не равномерно,Наряды и уборщики распределены не равномерно"</formula1>
    </dataValidation>
    <dataValidation type="list" allowBlank="1" showInputMessage="1" showErrorMessage="1" sqref="C34:C35">
      <formula1>"Увольнения распределены равномерно,Увольнения распределяются не равномерно"</formula1>
    </dataValidation>
    <dataValidation type="list" allowBlank="1" showInputMessage="1" showErrorMessage="1" sqref="C32:C33">
      <formula1>"Подведение итогов актуально, поставлены конкретные задачи и проводится в установленное время,Подведение итогов не актуально, не поставлены задачи или не проводится"</formula1>
    </dataValidation>
    <dataValidation type="list" allowBlank="1" showInputMessage="1" showErrorMessage="1" sqref="C29:C31">
      <formula1>"Обстановкой владеет, доклады представляет, книжка сержантов актуальна,Обстановкой владеет, доклады представляет, книжка сержантов не актуальна,Обстановкой не владеет, доклады не представляет, книжка сержантов не актуальна"</formula1>
    </dataValidation>
    <dataValidation type="list" allowBlank="1" showInputMessage="1" showErrorMessage="1" sqref="C27:C28">
      <formula1>"Дисциплинарная практика к подчиненному личному составу ведется,Дисциплинарная практика к подчиненному личному составу не реализуется или КУГ имеет дисциплинарные взыскания"</formula1>
    </dataValidation>
    <dataValidation type="list" allowBlank="1" showInputMessage="1" showErrorMessage="1" sqref="C24:C26">
      <formula1>"ПРО, ПРЕ, ГДП в подразделении и КУГ отсутствуют, ПРО, ПРЕ отсутствуют, имеются не снятые взыскания за ГДП в подразделении, у КУГ отсутствуют, Совершено ПРО, ПРЕ, ГДП в подразделении или КУГ или допущено сокрытие"</formula1>
    </dataValidation>
    <dataValidation type="list" allowBlank="1" showInputMessage="1" showErrorMessage="1" sqref="C21:C23">
      <formula1>"Замечания в подразделении и у КУГ отсутствуют,В подразделении 2 замечания у КУГ отсутствуют,В подразделении 3 и более замечаний или замечания у КУГ"</formula1>
    </dataValidation>
    <dataValidation type="list" allowBlank="1" showInputMessage="1" showErrorMessage="1" sqref="C15:C17">
      <formula1>$L$15:$L$17</formula1>
    </dataValidation>
    <dataValidation type="list" allowBlank="1" showInputMessage="1" showErrorMessage="1" sqref="C12:C14">
      <formula1>"В подразделении и у КУГ отсутствуют текущие задолжности,Имеются менее 20% текущих задолжностей в подразделении или у КУГ,Имеются более 20% текущих задолжностей в подразделении или у КУГ"</formula1>
    </dataValidation>
    <dataValidation type="list" allowBlank="1" showInputMessage="1" showErrorMessage="1" sqref="C10:C11">
      <formula1>"Академические задолжности отсутствуют, Имеются академические задолжности в учебной группе или у КУГ"</formula1>
    </dataValidation>
    <dataValidation type="list" allowBlank="1" showInputMessage="1" showErrorMessage="1" sqref="C7:C9">
      <formula1>$G$7:$G$9</formula1>
    </dataValidation>
  </dataValidations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theme="1"/>
  </sheetPr>
  <dimension ref="A1:U46"/>
  <sheetViews>
    <sheetView topLeftCell="A22" zoomScale="70" zoomScaleNormal="70" workbookViewId="0">
      <selection activeCell="C28" sqref="C28:C30"/>
    </sheetView>
  </sheetViews>
  <sheetFormatPr defaultRowHeight="15"/>
  <cols>
    <col min="2" max="2" width="26" customWidth="1"/>
    <col min="3" max="3" width="58.5703125" customWidth="1"/>
    <col min="4" max="4" width="28.42578125" customWidth="1"/>
    <col min="5" max="5" width="24.140625" hidden="1" customWidth="1"/>
    <col min="6" max="6" width="24" hidden="1" customWidth="1"/>
    <col min="7" max="7" width="1.85546875" hidden="1" customWidth="1"/>
    <col min="8" max="8" width="18.42578125" customWidth="1"/>
  </cols>
  <sheetData>
    <row r="1" spans="1:21" ht="20.25">
      <c r="A1" s="56" t="s">
        <v>0</v>
      </c>
      <c r="B1" s="56"/>
      <c r="C1" s="56"/>
      <c r="D1" s="56"/>
      <c r="E1" s="56"/>
    </row>
    <row r="2" spans="1:21" ht="18.75">
      <c r="A2" s="57" t="s">
        <v>1</v>
      </c>
      <c r="B2" s="57"/>
      <c r="C2" s="57"/>
      <c r="D2" s="57"/>
      <c r="E2" s="57"/>
    </row>
    <row r="3" spans="1:21" ht="18.75" customHeight="1">
      <c r="A3" s="58" t="s">
        <v>317</v>
      </c>
      <c r="B3" s="57"/>
      <c r="C3" s="57"/>
      <c r="D3" s="57"/>
      <c r="E3" s="57"/>
    </row>
    <row r="4" spans="1:21" ht="16.5" thickBot="1">
      <c r="A4" s="59"/>
      <c r="B4" s="59"/>
      <c r="C4" s="59"/>
      <c r="D4" s="59"/>
      <c r="E4" s="59"/>
    </row>
    <row r="5" spans="1:21" ht="15.75">
      <c r="A5" s="2" t="s">
        <v>3</v>
      </c>
      <c r="B5" s="60" t="s">
        <v>54</v>
      </c>
      <c r="C5" s="60" t="s">
        <v>55</v>
      </c>
      <c r="D5" s="60" t="s">
        <v>42</v>
      </c>
    </row>
    <row r="6" spans="1:21" ht="16.5" thickBot="1">
      <c r="A6" s="4" t="s">
        <v>4</v>
      </c>
      <c r="B6" s="61"/>
      <c r="C6" s="61"/>
      <c r="D6" s="61"/>
    </row>
    <row r="7" spans="1:21" ht="13.5" customHeight="1">
      <c r="A7" s="39" t="s">
        <v>5</v>
      </c>
      <c r="B7" s="44" t="s">
        <v>6</v>
      </c>
      <c r="C7" s="44" t="s">
        <v>83</v>
      </c>
      <c r="D7" s="44">
        <f>IF(IFERROR(SEARCH("подразделения ≥ 4,5", C7), 0) &gt; 0, 5, IF(IFERROR(SEARCH("подразделения ≥ 4,0", C7), 0) &gt; 0, 3, IF(IFERROR(SEARCH("&lt;", C7), 0) &gt; 0, 0,)))</f>
        <v>3</v>
      </c>
      <c r="F7">
        <v>5</v>
      </c>
      <c r="G7" s="16" t="s">
        <v>82</v>
      </c>
      <c r="N7" s="15"/>
      <c r="U7" s="15"/>
    </row>
    <row r="8" spans="1:21" ht="20.25" customHeight="1">
      <c r="A8" s="51"/>
      <c r="B8" s="54"/>
      <c r="C8" s="52"/>
      <c r="D8" s="52"/>
      <c r="F8">
        <v>3</v>
      </c>
      <c r="G8" s="17" t="s">
        <v>83</v>
      </c>
      <c r="N8" s="13"/>
      <c r="U8" s="13"/>
    </row>
    <row r="9" spans="1:21" ht="18" customHeight="1" thickBot="1">
      <c r="A9" s="40"/>
      <c r="B9" s="55"/>
      <c r="C9" s="45"/>
      <c r="D9" s="45"/>
      <c r="F9">
        <v>0</v>
      </c>
      <c r="G9" s="18" t="s">
        <v>84</v>
      </c>
    </row>
    <row r="10" spans="1:21">
      <c r="A10" s="39" t="s">
        <v>7</v>
      </c>
      <c r="B10" s="44" t="s">
        <v>8</v>
      </c>
      <c r="C10" s="44" t="s">
        <v>85</v>
      </c>
      <c r="D10" s="44">
        <f>IF(IFERROR(SEARCH("отсутствуют", C10), 0) &gt; 0, 10, IF(IFERROR(SEARCH("имеются", C10), 0) &gt; 0, 0, ))</f>
        <v>10</v>
      </c>
      <c r="F10">
        <v>10</v>
      </c>
      <c r="G10" t="s">
        <v>85</v>
      </c>
    </row>
    <row r="11" spans="1:21" ht="24.75" customHeight="1" thickBot="1">
      <c r="A11" s="40"/>
      <c r="B11" s="45"/>
      <c r="C11" s="45"/>
      <c r="D11" s="45"/>
      <c r="F11">
        <v>0</v>
      </c>
      <c r="G11" s="13" t="s">
        <v>86</v>
      </c>
    </row>
    <row r="12" spans="1:21" ht="18" customHeight="1" thickBot="1">
      <c r="A12" s="39" t="s">
        <v>9</v>
      </c>
      <c r="B12" s="44" t="s">
        <v>10</v>
      </c>
      <c r="C12" s="44" t="s">
        <v>87</v>
      </c>
      <c r="D12" s="44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>5</v>
      </c>
      <c r="F12">
        <v>5</v>
      </c>
      <c r="G12" s="14" t="s">
        <v>87</v>
      </c>
    </row>
    <row r="13" spans="1:21" ht="15.75">
      <c r="A13" s="51"/>
      <c r="B13" s="52"/>
      <c r="C13" s="52"/>
      <c r="D13" s="52"/>
      <c r="F13">
        <v>3</v>
      </c>
      <c r="G13" s="13" t="s">
        <v>88</v>
      </c>
    </row>
    <row r="14" spans="1:21" ht="16.5" thickBot="1">
      <c r="A14" s="40"/>
      <c r="B14" s="45"/>
      <c r="C14" s="45"/>
      <c r="D14" s="45"/>
      <c r="F14">
        <v>0</v>
      </c>
      <c r="G14" s="13" t="s">
        <v>89</v>
      </c>
    </row>
    <row r="15" spans="1:21" ht="15.75">
      <c r="A15" s="39" t="s">
        <v>11</v>
      </c>
      <c r="B15" s="44" t="s">
        <v>12</v>
      </c>
      <c r="C15" s="41" t="s">
        <v>90</v>
      </c>
      <c r="D15" s="44">
        <f>IF(IFERROR(SEARCH("Отсутствуют", C15), 0) &gt; 0, 5, IF(IFERROR(SEARCH("Наличие одного", C15), 0) &gt; 0, 3, IF(IFERROR(SEARCH("Наличие двух", C15), 0) &gt; 0, 0,)))</f>
        <v>5</v>
      </c>
      <c r="F15">
        <v>5</v>
      </c>
      <c r="G15" s="19" t="s">
        <v>90</v>
      </c>
    </row>
    <row r="16" spans="1:21" ht="15.75">
      <c r="A16" s="51"/>
      <c r="B16" s="52"/>
      <c r="C16" s="53"/>
      <c r="D16" s="52"/>
      <c r="F16">
        <v>3</v>
      </c>
      <c r="G16" s="13" t="s">
        <v>91</v>
      </c>
    </row>
    <row r="17" spans="1:7" ht="92.25" customHeight="1" thickBot="1">
      <c r="A17" s="40"/>
      <c r="B17" s="45"/>
      <c r="C17" s="43"/>
      <c r="D17" s="45"/>
      <c r="F17">
        <v>0</v>
      </c>
      <c r="G17" s="13" t="s">
        <v>92</v>
      </c>
    </row>
    <row r="18" spans="1:7" ht="15" customHeight="1" thickBot="1">
      <c r="A18" s="39" t="s">
        <v>13</v>
      </c>
      <c r="B18" s="44" t="s">
        <v>14</v>
      </c>
      <c r="C18" s="41" t="s">
        <v>94</v>
      </c>
      <c r="D18" s="44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>2</v>
      </c>
      <c r="F18">
        <v>10</v>
      </c>
      <c r="G18" s="13" t="s">
        <v>93</v>
      </c>
    </row>
    <row r="19" spans="1:7" ht="15" customHeight="1" thickBot="1">
      <c r="A19" s="51"/>
      <c r="B19" s="52"/>
      <c r="C19" s="53"/>
      <c r="D19" s="52"/>
      <c r="F19">
        <v>2</v>
      </c>
      <c r="G19" s="14" t="s">
        <v>94</v>
      </c>
    </row>
    <row r="20" spans="1:7" ht="57" customHeight="1" thickBot="1">
      <c r="A20" s="40"/>
      <c r="B20" s="45"/>
      <c r="C20" s="43"/>
      <c r="D20" s="45"/>
      <c r="F20">
        <v>0</v>
      </c>
      <c r="G20" s="13" t="s">
        <v>95</v>
      </c>
    </row>
    <row r="21" spans="1:7" ht="15.75">
      <c r="A21" s="39" t="s">
        <v>15</v>
      </c>
      <c r="B21" s="44" t="s">
        <v>16</v>
      </c>
      <c r="C21" s="41" t="s">
        <v>96</v>
      </c>
      <c r="D21" s="44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>5</v>
      </c>
      <c r="F21">
        <v>5</v>
      </c>
      <c r="G21" s="13" t="s">
        <v>96</v>
      </c>
    </row>
    <row r="22" spans="1:7" ht="42.75" customHeight="1" thickBot="1">
      <c r="A22" s="40"/>
      <c r="B22" s="45"/>
      <c r="C22" s="43"/>
      <c r="D22" s="45"/>
      <c r="F22">
        <v>0</v>
      </c>
      <c r="G22" s="13" t="s">
        <v>97</v>
      </c>
    </row>
    <row r="23" spans="1:7" ht="15.75">
      <c r="A23" s="39" t="s">
        <v>17</v>
      </c>
      <c r="B23" s="44" t="s">
        <v>18</v>
      </c>
      <c r="C23" s="41" t="s">
        <v>19</v>
      </c>
      <c r="D23" s="44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>10</v>
      </c>
      <c r="F23">
        <v>10</v>
      </c>
      <c r="G23" s="13" t="s">
        <v>19</v>
      </c>
    </row>
    <row r="24" spans="1:7" ht="15.75">
      <c r="A24" s="51"/>
      <c r="B24" s="52"/>
      <c r="C24" s="53"/>
      <c r="D24" s="52"/>
      <c r="F24">
        <v>5</v>
      </c>
      <c r="G24" s="13" t="s">
        <v>98</v>
      </c>
    </row>
    <row r="25" spans="1:7" ht="82.5" customHeight="1" thickBot="1">
      <c r="A25" s="40"/>
      <c r="B25" s="45"/>
      <c r="C25" s="43"/>
      <c r="D25" s="45"/>
      <c r="F25">
        <v>0</v>
      </c>
      <c r="G25" s="13" t="s">
        <v>99</v>
      </c>
    </row>
    <row r="26" spans="1:7" ht="15.75">
      <c r="A26" s="39" t="s">
        <v>20</v>
      </c>
      <c r="B26" s="44" t="s">
        <v>21</v>
      </c>
      <c r="C26" s="41" t="s">
        <v>22</v>
      </c>
      <c r="D26" s="44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>3</v>
      </c>
      <c r="F26">
        <v>3</v>
      </c>
      <c r="G26" s="13" t="s">
        <v>22</v>
      </c>
    </row>
    <row r="27" spans="1:7" ht="41.25" customHeight="1" thickBot="1">
      <c r="A27" s="40"/>
      <c r="B27" s="45"/>
      <c r="C27" s="43"/>
      <c r="D27" s="45"/>
      <c r="F27">
        <v>0</v>
      </c>
      <c r="G27" s="13" t="s">
        <v>100</v>
      </c>
    </row>
    <row r="28" spans="1:7" ht="15.75">
      <c r="A28" s="39" t="s">
        <v>23</v>
      </c>
      <c r="B28" s="44" t="s">
        <v>24</v>
      </c>
      <c r="C28" s="41" t="s">
        <v>101</v>
      </c>
      <c r="D28" s="44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>5</v>
      </c>
      <c r="F28">
        <v>5</v>
      </c>
      <c r="G28" s="13" t="s">
        <v>101</v>
      </c>
    </row>
    <row r="29" spans="1:7" ht="15.75">
      <c r="A29" s="51"/>
      <c r="B29" s="52"/>
      <c r="C29" s="53"/>
      <c r="D29" s="52"/>
      <c r="F29">
        <v>3</v>
      </c>
      <c r="G29" s="13" t="s">
        <v>102</v>
      </c>
    </row>
    <row r="30" spans="1:7" ht="61.5" customHeight="1" thickBot="1">
      <c r="A30" s="40"/>
      <c r="B30" s="45"/>
      <c r="C30" s="43"/>
      <c r="D30" s="45"/>
      <c r="F30">
        <v>0</v>
      </c>
      <c r="G30" s="13" t="s">
        <v>103</v>
      </c>
    </row>
    <row r="31" spans="1:7" ht="15.75">
      <c r="A31" s="39" t="s">
        <v>25</v>
      </c>
      <c r="B31" s="44" t="s">
        <v>26</v>
      </c>
      <c r="C31" s="41" t="s">
        <v>104</v>
      </c>
      <c r="D31" s="44">
        <f>IF(IFERROR(SEARCH("Отсутствуют нарушения ТБ", C31), 0) &gt; 0, 10, IF(IFERROR(SEARCH("Имелись нарушения ТБ", C31), 0) &gt; 0, 0, ))</f>
        <v>10</v>
      </c>
      <c r="F31">
        <v>10</v>
      </c>
      <c r="G31" s="13" t="s">
        <v>104</v>
      </c>
    </row>
    <row r="32" spans="1:7" ht="33.75" customHeight="1" thickBot="1">
      <c r="A32" s="40"/>
      <c r="B32" s="45"/>
      <c r="C32" s="43"/>
      <c r="D32" s="45"/>
      <c r="F32">
        <v>0</v>
      </c>
      <c r="G32" s="13" t="s">
        <v>105</v>
      </c>
    </row>
    <row r="33" spans="1:7" ht="15.75">
      <c r="A33" s="39" t="s">
        <v>27</v>
      </c>
      <c r="B33" s="44" t="s">
        <v>28</v>
      </c>
      <c r="C33" s="41" t="s">
        <v>52</v>
      </c>
      <c r="D33" s="44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>10</v>
      </c>
      <c r="F33">
        <v>10</v>
      </c>
      <c r="G33" s="13" t="s">
        <v>52</v>
      </c>
    </row>
    <row r="34" spans="1:7" ht="15.75">
      <c r="A34" s="51"/>
      <c r="B34" s="52"/>
      <c r="C34" s="53"/>
      <c r="D34" s="52"/>
      <c r="F34">
        <v>5</v>
      </c>
      <c r="G34" s="13" t="s">
        <v>106</v>
      </c>
    </row>
    <row r="35" spans="1:7" ht="18" customHeight="1" thickBot="1">
      <c r="A35" s="40"/>
      <c r="B35" s="45"/>
      <c r="C35" s="43"/>
      <c r="D35" s="45"/>
      <c r="F35">
        <v>0</v>
      </c>
      <c r="G35" s="13" t="s">
        <v>107</v>
      </c>
    </row>
    <row r="36" spans="1:7" ht="15.75">
      <c r="A36" s="39" t="s">
        <v>29</v>
      </c>
      <c r="B36" s="44" t="s">
        <v>30</v>
      </c>
      <c r="C36" s="41" t="s">
        <v>31</v>
      </c>
      <c r="D36" s="44">
        <f>IF(IFERROR(SEARCH("Материальные средства ", C36), 0) &gt; 0, 5, IF(IFERROR(SEARCH("Не выполнены ", C36), 0) &gt; 0, 0, ))</f>
        <v>5</v>
      </c>
      <c r="F36">
        <v>5</v>
      </c>
      <c r="G36" s="13" t="s">
        <v>31</v>
      </c>
    </row>
    <row r="37" spans="1:7" ht="45" customHeight="1" thickBot="1">
      <c r="A37" s="40"/>
      <c r="B37" s="45"/>
      <c r="C37" s="43"/>
      <c r="D37" s="45"/>
      <c r="F37">
        <v>0</v>
      </c>
      <c r="G37" s="13" t="s">
        <v>110</v>
      </c>
    </row>
    <row r="38" spans="1:7" ht="15.75">
      <c r="A38" s="39" t="s">
        <v>32</v>
      </c>
      <c r="B38" s="44" t="s">
        <v>33</v>
      </c>
      <c r="C38" s="41" t="s">
        <v>108</v>
      </c>
      <c r="D38" s="44">
        <f>IF(IFERROR(SEARCH("5", C38), 0) &gt; 0, 2, IF(IFERROR(SEARCH("4", C38), 0) &gt; 0, 1, ))</f>
        <v>2</v>
      </c>
      <c r="F38">
        <v>2</v>
      </c>
      <c r="G38" s="13" t="s">
        <v>108</v>
      </c>
    </row>
    <row r="39" spans="1:7" ht="103.5" customHeight="1" thickBot="1">
      <c r="A39" s="40"/>
      <c r="B39" s="45"/>
      <c r="C39" s="43"/>
      <c r="D39" s="45"/>
      <c r="F39">
        <v>1</v>
      </c>
      <c r="G39" s="13" t="s">
        <v>109</v>
      </c>
    </row>
    <row r="40" spans="1:7">
      <c r="A40" s="46" t="s">
        <v>34</v>
      </c>
      <c r="B40" s="47"/>
      <c r="C40" s="66"/>
      <c r="D40" s="68">
        <f>SUM(D7:D39)</f>
        <v>75</v>
      </c>
      <c r="E40" s="65"/>
    </row>
    <row r="41" spans="1:7" ht="15.75" thickBot="1">
      <c r="A41" s="48"/>
      <c r="B41" s="49"/>
      <c r="C41" s="67"/>
      <c r="D41" s="69"/>
      <c r="E41" s="65"/>
    </row>
    <row r="43" spans="1:7" ht="20.25">
      <c r="A43" s="37" t="s">
        <v>35</v>
      </c>
      <c r="B43" s="37"/>
      <c r="C43" s="37"/>
      <c r="D43" s="5"/>
      <c r="E43" s="5"/>
    </row>
    <row r="44" spans="1:7" ht="20.25">
      <c r="A44" s="37"/>
      <c r="B44" s="37"/>
      <c r="C44" s="37"/>
      <c r="D44" s="6"/>
      <c r="E44" s="6"/>
    </row>
    <row r="45" spans="1:7" ht="20.25">
      <c r="A45" s="5"/>
      <c r="B45" s="5"/>
      <c r="C45" s="5" t="s">
        <v>36</v>
      </c>
      <c r="D45" s="5"/>
      <c r="E45" s="5"/>
    </row>
    <row r="46" spans="1:7" ht="20.25">
      <c r="A46" s="5"/>
      <c r="B46" s="5"/>
      <c r="C46" s="5" t="s">
        <v>307</v>
      </c>
    </row>
  </sheetData>
  <mergeCells count="63">
    <mergeCell ref="A1:E1"/>
    <mergeCell ref="A2:E2"/>
    <mergeCell ref="A3:E3"/>
    <mergeCell ref="A4:E4"/>
    <mergeCell ref="B5:B6"/>
    <mergeCell ref="C5:C6"/>
    <mergeCell ref="D5:D6"/>
    <mergeCell ref="A7:A9"/>
    <mergeCell ref="B7:B9"/>
    <mergeCell ref="C7:C9"/>
    <mergeCell ref="D7:D9"/>
    <mergeCell ref="A10:A11"/>
    <mergeCell ref="B10:B11"/>
    <mergeCell ref="C10:C11"/>
    <mergeCell ref="D10:D11"/>
    <mergeCell ref="A12:A14"/>
    <mergeCell ref="B12:B14"/>
    <mergeCell ref="C12:C14"/>
    <mergeCell ref="D12:D14"/>
    <mergeCell ref="A15:A17"/>
    <mergeCell ref="B15:B17"/>
    <mergeCell ref="C15:C17"/>
    <mergeCell ref="D15:D17"/>
    <mergeCell ref="A18:A20"/>
    <mergeCell ref="B18:B20"/>
    <mergeCell ref="C18:C20"/>
    <mergeCell ref="D18:D20"/>
    <mergeCell ref="A21:A22"/>
    <mergeCell ref="B21:B22"/>
    <mergeCell ref="C21:C22"/>
    <mergeCell ref="D21:D22"/>
    <mergeCell ref="A23:A25"/>
    <mergeCell ref="B23:B25"/>
    <mergeCell ref="C23:C25"/>
    <mergeCell ref="D23:D25"/>
    <mergeCell ref="A26:A27"/>
    <mergeCell ref="B26:B27"/>
    <mergeCell ref="C26:C27"/>
    <mergeCell ref="D26:D27"/>
    <mergeCell ref="A28:A30"/>
    <mergeCell ref="B28:B30"/>
    <mergeCell ref="C28:C30"/>
    <mergeCell ref="D28:D30"/>
    <mergeCell ref="A31:A32"/>
    <mergeCell ref="B31:B32"/>
    <mergeCell ref="C31:C32"/>
    <mergeCell ref="D31:D32"/>
    <mergeCell ref="A33:A35"/>
    <mergeCell ref="B33:B35"/>
    <mergeCell ref="C33:C35"/>
    <mergeCell ref="D33:D35"/>
    <mergeCell ref="A36:A37"/>
    <mergeCell ref="B36:B37"/>
    <mergeCell ref="C36:C37"/>
    <mergeCell ref="D36:D37"/>
    <mergeCell ref="E40:E41"/>
    <mergeCell ref="A43:C44"/>
    <mergeCell ref="A38:A39"/>
    <mergeCell ref="B38:B39"/>
    <mergeCell ref="C38:C39"/>
    <mergeCell ref="D38:D39"/>
    <mergeCell ref="A40:C41"/>
    <mergeCell ref="D40:D41"/>
  </mergeCells>
  <dataValidations count="13">
    <dataValidation type="list" allowBlank="1" showInputMessage="1" showErrorMessage="1" sqref="C38:C39">
      <formula1>$G$38:$G$39</formula1>
    </dataValidation>
    <dataValidation type="list" allowBlank="1" showInputMessage="1" showErrorMessage="1" sqref="C36:C37">
      <formula1>$G$36:$G$37</formula1>
    </dataValidation>
    <dataValidation type="list" allowBlank="1" showInputMessage="1" showErrorMessage="1" sqref="C33:C35">
      <formula1>$G$33:$G$35</formula1>
    </dataValidation>
    <dataValidation type="list" allowBlank="1" showInputMessage="1" showErrorMessage="1" sqref="C31:C32">
      <formula1>$G$31:$G$32</formula1>
    </dataValidation>
    <dataValidation type="list" allowBlank="1" showInputMessage="1" showErrorMessage="1" sqref="C28:C30">
      <formula1>$G$28:$G$30</formula1>
    </dataValidation>
    <dataValidation type="list" allowBlank="1" showInputMessage="1" showErrorMessage="1" sqref="C26:C27">
      <formula1>$G$26:$G$27</formula1>
    </dataValidation>
    <dataValidation type="list" allowBlank="1" showInputMessage="1" showErrorMessage="1" sqref="C23:C25">
      <formula1>$G$23:$G$25</formula1>
    </dataValidation>
    <dataValidation type="list" allowBlank="1" showInputMessage="1" showErrorMessage="1" sqref="C21:C22">
      <formula1>$G$21:$G$22</formula1>
    </dataValidation>
    <dataValidation type="list" allowBlank="1" showInputMessage="1" showErrorMessage="1" sqref="C18:C20">
      <formula1>$G$18:$G$20</formula1>
    </dataValidation>
    <dataValidation type="list" allowBlank="1" showInputMessage="1" showErrorMessage="1" sqref="C15:C17">
      <formula1>$G$15:$G$17</formula1>
    </dataValidation>
    <dataValidation type="list" allowBlank="1" showInputMessage="1" showErrorMessage="1" sqref="C12:C14">
      <formula1>$G$12:$G$14</formula1>
    </dataValidation>
    <dataValidation type="list" allowBlank="1" showInputMessage="1" showErrorMessage="1" sqref="C10:C11">
      <formula1>$G$10:$G$11</formula1>
    </dataValidation>
    <dataValidation type="list" allowBlank="1" showInputMessage="1" showErrorMessage="1" sqref="C7:C9">
      <formula1>$G$7:$G$9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theme="1"/>
  </sheetPr>
  <dimension ref="A1:U46"/>
  <sheetViews>
    <sheetView topLeftCell="A19" zoomScale="70" zoomScaleNormal="70" workbookViewId="0">
      <selection activeCell="C28" sqref="C28:C30"/>
    </sheetView>
  </sheetViews>
  <sheetFormatPr defaultRowHeight="15"/>
  <cols>
    <col min="2" max="2" width="26" customWidth="1"/>
    <col min="3" max="3" width="58.5703125" customWidth="1"/>
    <col min="4" max="4" width="28.42578125" customWidth="1"/>
    <col min="5" max="5" width="24.140625" hidden="1" customWidth="1"/>
    <col min="6" max="6" width="24" hidden="1" customWidth="1"/>
    <col min="7" max="7" width="1.85546875" hidden="1" customWidth="1"/>
    <col min="8" max="8" width="18.42578125" customWidth="1"/>
  </cols>
  <sheetData>
    <row r="1" spans="1:21" ht="20.25">
      <c r="A1" s="56" t="s">
        <v>0</v>
      </c>
      <c r="B1" s="56"/>
      <c r="C1" s="56"/>
      <c r="D1" s="56"/>
      <c r="E1" s="56"/>
    </row>
    <row r="2" spans="1:21" ht="18.75">
      <c r="A2" s="57" t="s">
        <v>1</v>
      </c>
      <c r="B2" s="57"/>
      <c r="C2" s="57"/>
      <c r="D2" s="57"/>
      <c r="E2" s="57"/>
    </row>
    <row r="3" spans="1:21" ht="18.75" customHeight="1">
      <c r="A3" s="58" t="s">
        <v>316</v>
      </c>
      <c r="B3" s="57"/>
      <c r="C3" s="57"/>
      <c r="D3" s="57"/>
      <c r="E3" s="57"/>
    </row>
    <row r="4" spans="1:21" ht="16.5" thickBot="1">
      <c r="A4" s="59"/>
      <c r="B4" s="59"/>
      <c r="C4" s="59"/>
      <c r="D4" s="59"/>
      <c r="E4" s="59"/>
    </row>
    <row r="5" spans="1:21" ht="15.75">
      <c r="A5" s="2" t="s">
        <v>3</v>
      </c>
      <c r="B5" s="60" t="s">
        <v>54</v>
      </c>
      <c r="C5" s="60" t="s">
        <v>55</v>
      </c>
      <c r="D5" s="60" t="s">
        <v>42</v>
      </c>
    </row>
    <row r="6" spans="1:21" ht="16.5" thickBot="1">
      <c r="A6" s="4" t="s">
        <v>4</v>
      </c>
      <c r="B6" s="61"/>
      <c r="C6" s="61"/>
      <c r="D6" s="61"/>
    </row>
    <row r="7" spans="1:21" ht="13.5" customHeight="1">
      <c r="A7" s="39" t="s">
        <v>5</v>
      </c>
      <c r="B7" s="44" t="s">
        <v>6</v>
      </c>
      <c r="C7" s="44" t="s">
        <v>82</v>
      </c>
      <c r="D7" s="44">
        <f>IF(IFERROR(SEARCH("подразделения ≥ 4,5", C7), 0) &gt; 0, 5, IF(IFERROR(SEARCH("подразделения ≥ 4,0", C7), 0) &gt; 0, 3, IF(IFERROR(SEARCH("&lt;", C7), 0) &gt; 0, 0,)))</f>
        <v>5</v>
      </c>
      <c r="F7">
        <v>5</v>
      </c>
      <c r="G7" s="16" t="s">
        <v>82</v>
      </c>
      <c r="N7" s="15"/>
      <c r="U7" s="15"/>
    </row>
    <row r="8" spans="1:21" ht="20.25" customHeight="1">
      <c r="A8" s="51"/>
      <c r="B8" s="54"/>
      <c r="C8" s="52"/>
      <c r="D8" s="52"/>
      <c r="F8">
        <v>3</v>
      </c>
      <c r="G8" s="17" t="s">
        <v>83</v>
      </c>
      <c r="N8" s="13"/>
      <c r="U8" s="13"/>
    </row>
    <row r="9" spans="1:21" ht="18" customHeight="1" thickBot="1">
      <c r="A9" s="40"/>
      <c r="B9" s="55"/>
      <c r="C9" s="45"/>
      <c r="D9" s="45"/>
      <c r="F9">
        <v>0</v>
      </c>
      <c r="G9" s="18" t="s">
        <v>84</v>
      </c>
    </row>
    <row r="10" spans="1:21">
      <c r="A10" s="39" t="s">
        <v>7</v>
      </c>
      <c r="B10" s="44" t="s">
        <v>8</v>
      </c>
      <c r="C10" s="44" t="s">
        <v>85</v>
      </c>
      <c r="D10" s="44">
        <f>IF(IFERROR(SEARCH("отсутствуют", C10), 0) &gt; 0, 10, IF(IFERROR(SEARCH("имеются", C10), 0) &gt; 0, 0, ))</f>
        <v>10</v>
      </c>
      <c r="F10">
        <v>10</v>
      </c>
      <c r="G10" t="s">
        <v>85</v>
      </c>
    </row>
    <row r="11" spans="1:21" ht="24.75" customHeight="1" thickBot="1">
      <c r="A11" s="40"/>
      <c r="B11" s="45"/>
      <c r="C11" s="45"/>
      <c r="D11" s="45"/>
      <c r="F11">
        <v>0</v>
      </c>
      <c r="G11" s="13" t="s">
        <v>86</v>
      </c>
    </row>
    <row r="12" spans="1:21" ht="18" customHeight="1" thickBot="1">
      <c r="A12" s="39" t="s">
        <v>9</v>
      </c>
      <c r="B12" s="44" t="s">
        <v>10</v>
      </c>
      <c r="C12" s="44" t="s">
        <v>87</v>
      </c>
      <c r="D12" s="44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>5</v>
      </c>
      <c r="F12">
        <v>5</v>
      </c>
      <c r="G12" s="14" t="s">
        <v>87</v>
      </c>
    </row>
    <row r="13" spans="1:21" ht="15.75">
      <c r="A13" s="51"/>
      <c r="B13" s="52"/>
      <c r="C13" s="52"/>
      <c r="D13" s="52"/>
      <c r="F13">
        <v>3</v>
      </c>
      <c r="G13" s="13" t="s">
        <v>88</v>
      </c>
    </row>
    <row r="14" spans="1:21" ht="16.5" thickBot="1">
      <c r="A14" s="40"/>
      <c r="B14" s="45"/>
      <c r="C14" s="45"/>
      <c r="D14" s="45"/>
      <c r="F14">
        <v>0</v>
      </c>
      <c r="G14" s="13" t="s">
        <v>89</v>
      </c>
    </row>
    <row r="15" spans="1:21" ht="15.75">
      <c r="A15" s="39" t="s">
        <v>11</v>
      </c>
      <c r="B15" s="44" t="s">
        <v>12</v>
      </c>
      <c r="C15" s="41" t="s">
        <v>90</v>
      </c>
      <c r="D15" s="44">
        <f>IF(IFERROR(SEARCH("Отсутствуют", C15), 0) &gt; 0, 5, IF(IFERROR(SEARCH("Наличие одного", C15), 0) &gt; 0, 3, IF(IFERROR(SEARCH("Наличие двух", C15), 0) &gt; 0, 0,)))</f>
        <v>5</v>
      </c>
      <c r="F15">
        <v>5</v>
      </c>
      <c r="G15" s="19" t="s">
        <v>90</v>
      </c>
    </row>
    <row r="16" spans="1:21" ht="15.75">
      <c r="A16" s="51"/>
      <c r="B16" s="52"/>
      <c r="C16" s="53"/>
      <c r="D16" s="52"/>
      <c r="F16">
        <v>3</v>
      </c>
      <c r="G16" s="13" t="s">
        <v>91</v>
      </c>
    </row>
    <row r="17" spans="1:7" ht="92.25" customHeight="1" thickBot="1">
      <c r="A17" s="40"/>
      <c r="B17" s="45"/>
      <c r="C17" s="43"/>
      <c r="D17" s="45"/>
      <c r="F17">
        <v>0</v>
      </c>
      <c r="G17" s="13" t="s">
        <v>92</v>
      </c>
    </row>
    <row r="18" spans="1:7" ht="15" customHeight="1" thickBot="1">
      <c r="A18" s="39" t="s">
        <v>13</v>
      </c>
      <c r="B18" s="44" t="s">
        <v>14</v>
      </c>
      <c r="C18" s="41" t="s">
        <v>93</v>
      </c>
      <c r="D18" s="44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>10</v>
      </c>
      <c r="F18">
        <v>10</v>
      </c>
      <c r="G18" s="13" t="s">
        <v>93</v>
      </c>
    </row>
    <row r="19" spans="1:7" ht="15" customHeight="1" thickBot="1">
      <c r="A19" s="51"/>
      <c r="B19" s="52"/>
      <c r="C19" s="53"/>
      <c r="D19" s="52"/>
      <c r="F19">
        <v>2</v>
      </c>
      <c r="G19" s="14" t="s">
        <v>94</v>
      </c>
    </row>
    <row r="20" spans="1:7" ht="57" customHeight="1" thickBot="1">
      <c r="A20" s="40"/>
      <c r="B20" s="45"/>
      <c r="C20" s="43"/>
      <c r="D20" s="45"/>
      <c r="F20">
        <v>0</v>
      </c>
      <c r="G20" s="13" t="s">
        <v>95</v>
      </c>
    </row>
    <row r="21" spans="1:7" ht="15.75">
      <c r="A21" s="39" t="s">
        <v>15</v>
      </c>
      <c r="B21" s="44" t="s">
        <v>16</v>
      </c>
      <c r="C21" s="41" t="s">
        <v>96</v>
      </c>
      <c r="D21" s="44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>5</v>
      </c>
      <c r="F21">
        <v>5</v>
      </c>
      <c r="G21" s="13" t="s">
        <v>96</v>
      </c>
    </row>
    <row r="22" spans="1:7" ht="42.75" customHeight="1" thickBot="1">
      <c r="A22" s="40"/>
      <c r="B22" s="45"/>
      <c r="C22" s="43"/>
      <c r="D22" s="45"/>
      <c r="F22">
        <v>0</v>
      </c>
      <c r="G22" s="13" t="s">
        <v>97</v>
      </c>
    </row>
    <row r="23" spans="1:7" ht="15.75">
      <c r="A23" s="39" t="s">
        <v>17</v>
      </c>
      <c r="B23" s="44" t="s">
        <v>18</v>
      </c>
      <c r="C23" s="41" t="s">
        <v>19</v>
      </c>
      <c r="D23" s="44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>10</v>
      </c>
      <c r="F23">
        <v>10</v>
      </c>
      <c r="G23" s="13" t="s">
        <v>19</v>
      </c>
    </row>
    <row r="24" spans="1:7" ht="15.75">
      <c r="A24" s="51"/>
      <c r="B24" s="52"/>
      <c r="C24" s="53"/>
      <c r="D24" s="52"/>
      <c r="F24">
        <v>5</v>
      </c>
      <c r="G24" s="13" t="s">
        <v>98</v>
      </c>
    </row>
    <row r="25" spans="1:7" ht="82.5" customHeight="1" thickBot="1">
      <c r="A25" s="40"/>
      <c r="B25" s="45"/>
      <c r="C25" s="43"/>
      <c r="D25" s="45"/>
      <c r="F25">
        <v>0</v>
      </c>
      <c r="G25" s="13" t="s">
        <v>99</v>
      </c>
    </row>
    <row r="26" spans="1:7" ht="15.75">
      <c r="A26" s="39" t="s">
        <v>20</v>
      </c>
      <c r="B26" s="44" t="s">
        <v>21</v>
      </c>
      <c r="C26" s="41" t="s">
        <v>22</v>
      </c>
      <c r="D26" s="44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>3</v>
      </c>
      <c r="F26">
        <v>3</v>
      </c>
      <c r="G26" s="13" t="s">
        <v>22</v>
      </c>
    </row>
    <row r="27" spans="1:7" ht="41.25" customHeight="1" thickBot="1">
      <c r="A27" s="40"/>
      <c r="B27" s="45"/>
      <c r="C27" s="43"/>
      <c r="D27" s="45"/>
      <c r="F27">
        <v>0</v>
      </c>
      <c r="G27" s="13" t="s">
        <v>100</v>
      </c>
    </row>
    <row r="28" spans="1:7" ht="15.75">
      <c r="A28" s="39" t="s">
        <v>23</v>
      </c>
      <c r="B28" s="44" t="s">
        <v>24</v>
      </c>
      <c r="C28" s="41" t="s">
        <v>101</v>
      </c>
      <c r="D28" s="44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>5</v>
      </c>
      <c r="F28">
        <v>5</v>
      </c>
      <c r="G28" s="13" t="s">
        <v>101</v>
      </c>
    </row>
    <row r="29" spans="1:7" ht="15.75">
      <c r="A29" s="51"/>
      <c r="B29" s="52"/>
      <c r="C29" s="53"/>
      <c r="D29" s="52"/>
      <c r="F29">
        <v>3</v>
      </c>
      <c r="G29" s="13" t="s">
        <v>102</v>
      </c>
    </row>
    <row r="30" spans="1:7" ht="61.5" customHeight="1" thickBot="1">
      <c r="A30" s="40"/>
      <c r="B30" s="45"/>
      <c r="C30" s="43"/>
      <c r="D30" s="45"/>
      <c r="F30">
        <v>0</v>
      </c>
      <c r="G30" s="13" t="s">
        <v>103</v>
      </c>
    </row>
    <row r="31" spans="1:7" ht="15.75">
      <c r="A31" s="39" t="s">
        <v>25</v>
      </c>
      <c r="B31" s="44" t="s">
        <v>26</v>
      </c>
      <c r="C31" s="41" t="s">
        <v>104</v>
      </c>
      <c r="D31" s="44">
        <f>IF(IFERROR(SEARCH("Отсутствуют нарушения ТБ", C31), 0) &gt; 0, 10, IF(IFERROR(SEARCH("Имелись нарушения ТБ", C31), 0) &gt; 0, 0, ))</f>
        <v>10</v>
      </c>
      <c r="F31">
        <v>10</v>
      </c>
      <c r="G31" s="13" t="s">
        <v>104</v>
      </c>
    </row>
    <row r="32" spans="1:7" ht="33.75" customHeight="1" thickBot="1">
      <c r="A32" s="40"/>
      <c r="B32" s="45"/>
      <c r="C32" s="43"/>
      <c r="D32" s="45"/>
      <c r="F32">
        <v>0</v>
      </c>
      <c r="G32" s="13" t="s">
        <v>105</v>
      </c>
    </row>
    <row r="33" spans="1:7" ht="15.75">
      <c r="A33" s="39" t="s">
        <v>27</v>
      </c>
      <c r="B33" s="44" t="s">
        <v>28</v>
      </c>
      <c r="C33" s="41" t="s">
        <v>52</v>
      </c>
      <c r="D33" s="44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>10</v>
      </c>
      <c r="F33">
        <v>10</v>
      </c>
      <c r="G33" s="13" t="s">
        <v>52</v>
      </c>
    </row>
    <row r="34" spans="1:7" ht="15.75">
      <c r="A34" s="51"/>
      <c r="B34" s="52"/>
      <c r="C34" s="53"/>
      <c r="D34" s="52"/>
      <c r="F34">
        <v>5</v>
      </c>
      <c r="G34" s="13" t="s">
        <v>106</v>
      </c>
    </row>
    <row r="35" spans="1:7" ht="18" customHeight="1" thickBot="1">
      <c r="A35" s="40"/>
      <c r="B35" s="45"/>
      <c r="C35" s="43"/>
      <c r="D35" s="45"/>
      <c r="F35">
        <v>0</v>
      </c>
      <c r="G35" s="13" t="s">
        <v>107</v>
      </c>
    </row>
    <row r="36" spans="1:7" ht="15.75">
      <c r="A36" s="39" t="s">
        <v>29</v>
      </c>
      <c r="B36" s="44" t="s">
        <v>30</v>
      </c>
      <c r="C36" s="41" t="s">
        <v>31</v>
      </c>
      <c r="D36" s="44">
        <f>IF(IFERROR(SEARCH("Материальные средства ", C36), 0) &gt; 0, 5, IF(IFERROR(SEARCH("Не выполнены ", C36), 0) &gt; 0, 0, ))</f>
        <v>5</v>
      </c>
      <c r="F36">
        <v>5</v>
      </c>
      <c r="G36" s="13" t="s">
        <v>31</v>
      </c>
    </row>
    <row r="37" spans="1:7" ht="45" customHeight="1" thickBot="1">
      <c r="A37" s="40"/>
      <c r="B37" s="45"/>
      <c r="C37" s="43"/>
      <c r="D37" s="45"/>
      <c r="F37">
        <v>0</v>
      </c>
      <c r="G37" s="13" t="s">
        <v>110</v>
      </c>
    </row>
    <row r="38" spans="1:7" ht="15.75">
      <c r="A38" s="39" t="s">
        <v>32</v>
      </c>
      <c r="B38" s="44" t="s">
        <v>33</v>
      </c>
      <c r="C38" s="41" t="s">
        <v>108</v>
      </c>
      <c r="D38" s="44">
        <f>IF(IFERROR(SEARCH("5", C38), 0) &gt; 0, 2, IF(IFERROR(SEARCH("4", C38), 0) &gt; 0, 1, ))</f>
        <v>2</v>
      </c>
      <c r="F38">
        <v>2</v>
      </c>
      <c r="G38" s="13" t="s">
        <v>108</v>
      </c>
    </row>
    <row r="39" spans="1:7" ht="103.5" customHeight="1" thickBot="1">
      <c r="A39" s="40"/>
      <c r="B39" s="45"/>
      <c r="C39" s="43"/>
      <c r="D39" s="45"/>
      <c r="F39">
        <v>1</v>
      </c>
      <c r="G39" s="13" t="s">
        <v>109</v>
      </c>
    </row>
    <row r="40" spans="1:7">
      <c r="A40" s="46" t="s">
        <v>34</v>
      </c>
      <c r="B40" s="47"/>
      <c r="C40" s="66"/>
      <c r="D40" s="68">
        <f>SUM(D7:D39)</f>
        <v>85</v>
      </c>
      <c r="E40" s="65"/>
    </row>
    <row r="41" spans="1:7" ht="15.75" thickBot="1">
      <c r="A41" s="48"/>
      <c r="B41" s="49"/>
      <c r="C41" s="67"/>
      <c r="D41" s="69"/>
      <c r="E41" s="65"/>
    </row>
    <row r="43" spans="1:7" ht="20.25">
      <c r="A43" s="37" t="s">
        <v>35</v>
      </c>
      <c r="B43" s="37"/>
      <c r="C43" s="37"/>
      <c r="D43" s="5"/>
      <c r="E43" s="5"/>
    </row>
    <row r="44" spans="1:7" ht="20.25">
      <c r="A44" s="37"/>
      <c r="B44" s="37"/>
      <c r="C44" s="37"/>
      <c r="D44" s="6"/>
      <c r="E44" s="6"/>
    </row>
    <row r="45" spans="1:7" ht="20.25">
      <c r="A45" s="5"/>
      <c r="B45" s="5"/>
      <c r="C45" s="5" t="s">
        <v>36</v>
      </c>
      <c r="D45" s="5"/>
      <c r="E45" s="5"/>
    </row>
    <row r="46" spans="1:7" ht="20.25">
      <c r="A46" s="5"/>
      <c r="B46" s="5"/>
      <c r="C46" s="5" t="s">
        <v>307</v>
      </c>
    </row>
  </sheetData>
  <mergeCells count="63">
    <mergeCell ref="A1:E1"/>
    <mergeCell ref="A2:E2"/>
    <mergeCell ref="A3:E3"/>
    <mergeCell ref="A4:E4"/>
    <mergeCell ref="B5:B6"/>
    <mergeCell ref="C5:C6"/>
    <mergeCell ref="D5:D6"/>
    <mergeCell ref="A7:A9"/>
    <mergeCell ref="B7:B9"/>
    <mergeCell ref="C7:C9"/>
    <mergeCell ref="D7:D9"/>
    <mergeCell ref="A10:A11"/>
    <mergeCell ref="B10:B11"/>
    <mergeCell ref="C10:C11"/>
    <mergeCell ref="D10:D11"/>
    <mergeCell ref="A12:A14"/>
    <mergeCell ref="B12:B14"/>
    <mergeCell ref="C12:C14"/>
    <mergeCell ref="D12:D14"/>
    <mergeCell ref="A15:A17"/>
    <mergeCell ref="B15:B17"/>
    <mergeCell ref="C15:C17"/>
    <mergeCell ref="D15:D17"/>
    <mergeCell ref="A18:A20"/>
    <mergeCell ref="B18:B20"/>
    <mergeCell ref="C18:C20"/>
    <mergeCell ref="D18:D20"/>
    <mergeCell ref="A21:A22"/>
    <mergeCell ref="B21:B22"/>
    <mergeCell ref="C21:C22"/>
    <mergeCell ref="D21:D22"/>
    <mergeCell ref="A23:A25"/>
    <mergeCell ref="B23:B25"/>
    <mergeCell ref="C23:C25"/>
    <mergeCell ref="D23:D25"/>
    <mergeCell ref="A26:A27"/>
    <mergeCell ref="B26:B27"/>
    <mergeCell ref="C26:C27"/>
    <mergeCell ref="D26:D27"/>
    <mergeCell ref="A28:A30"/>
    <mergeCell ref="B28:B30"/>
    <mergeCell ref="C28:C30"/>
    <mergeCell ref="D28:D30"/>
    <mergeCell ref="A31:A32"/>
    <mergeCell ref="B31:B32"/>
    <mergeCell ref="C31:C32"/>
    <mergeCell ref="D31:D32"/>
    <mergeCell ref="A33:A35"/>
    <mergeCell ref="B33:B35"/>
    <mergeCell ref="C33:C35"/>
    <mergeCell ref="D33:D35"/>
    <mergeCell ref="A36:A37"/>
    <mergeCell ref="B36:B37"/>
    <mergeCell ref="C36:C37"/>
    <mergeCell ref="D36:D37"/>
    <mergeCell ref="E40:E41"/>
    <mergeCell ref="A43:C44"/>
    <mergeCell ref="A38:A39"/>
    <mergeCell ref="B38:B39"/>
    <mergeCell ref="C38:C39"/>
    <mergeCell ref="D38:D39"/>
    <mergeCell ref="A40:C41"/>
    <mergeCell ref="D40:D41"/>
  </mergeCells>
  <dataValidations count="13">
    <dataValidation type="list" allowBlank="1" showInputMessage="1" showErrorMessage="1" sqref="C38:C39">
      <formula1>$G$38:$G$39</formula1>
    </dataValidation>
    <dataValidation type="list" allowBlank="1" showInputMessage="1" showErrorMessage="1" sqref="C36:C37">
      <formula1>$G$36:$G$37</formula1>
    </dataValidation>
    <dataValidation type="list" allowBlank="1" showInputMessage="1" showErrorMessage="1" sqref="C33:C35">
      <formula1>$G$33:$G$35</formula1>
    </dataValidation>
    <dataValidation type="list" allowBlank="1" showInputMessage="1" showErrorMessage="1" sqref="C31:C32">
      <formula1>$G$31:$G$32</formula1>
    </dataValidation>
    <dataValidation type="list" allowBlank="1" showInputMessage="1" showErrorMessage="1" sqref="C28:C30">
      <formula1>$G$28:$G$30</formula1>
    </dataValidation>
    <dataValidation type="list" allowBlank="1" showInputMessage="1" showErrorMessage="1" sqref="C26:C27">
      <formula1>$G$26:$G$27</formula1>
    </dataValidation>
    <dataValidation type="list" allowBlank="1" showInputMessage="1" showErrorMessage="1" sqref="C23:C25">
      <formula1>$G$23:$G$25</formula1>
    </dataValidation>
    <dataValidation type="list" allowBlank="1" showInputMessage="1" showErrorMessage="1" sqref="C21:C22">
      <formula1>$G$21:$G$22</formula1>
    </dataValidation>
    <dataValidation type="list" allowBlank="1" showInputMessage="1" showErrorMessage="1" sqref="C18:C20">
      <formula1>$G$18:$G$20</formula1>
    </dataValidation>
    <dataValidation type="list" allowBlank="1" showInputMessage="1" showErrorMessage="1" sqref="C15:C17">
      <formula1>$G$15:$G$17</formula1>
    </dataValidation>
    <dataValidation type="list" allowBlank="1" showInputMessage="1" showErrorMessage="1" sqref="C12:C14">
      <formula1>$G$12:$G$14</formula1>
    </dataValidation>
    <dataValidation type="list" allowBlank="1" showInputMessage="1" showErrorMessage="1" sqref="C10:C11">
      <formula1>$G$10:$G$11</formula1>
    </dataValidation>
    <dataValidation type="list" allowBlank="1" showInputMessage="1" showErrorMessage="1" sqref="C7:C9">
      <formula1>$G$7:$G$9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theme="1"/>
  </sheetPr>
  <dimension ref="A1:U46"/>
  <sheetViews>
    <sheetView topLeftCell="A19" zoomScale="70" zoomScaleNormal="70" workbookViewId="0">
      <selection activeCell="C28" sqref="C28:C30"/>
    </sheetView>
  </sheetViews>
  <sheetFormatPr defaultRowHeight="15"/>
  <cols>
    <col min="2" max="2" width="26" customWidth="1"/>
    <col min="3" max="3" width="58.5703125" customWidth="1"/>
    <col min="4" max="4" width="28.42578125" customWidth="1"/>
    <col min="5" max="5" width="24.140625" hidden="1" customWidth="1"/>
    <col min="6" max="6" width="24" hidden="1" customWidth="1"/>
    <col min="7" max="7" width="1.85546875" hidden="1" customWidth="1"/>
    <col min="8" max="8" width="18.42578125" customWidth="1"/>
  </cols>
  <sheetData>
    <row r="1" spans="1:21" ht="20.25">
      <c r="A1" s="56" t="s">
        <v>0</v>
      </c>
      <c r="B1" s="56"/>
      <c r="C1" s="56"/>
      <c r="D1" s="56"/>
      <c r="E1" s="56"/>
    </row>
    <row r="2" spans="1:21" ht="18.75">
      <c r="A2" s="57" t="s">
        <v>1</v>
      </c>
      <c r="B2" s="57"/>
      <c r="C2" s="57"/>
      <c r="D2" s="57"/>
      <c r="E2" s="57"/>
    </row>
    <row r="3" spans="1:21" ht="18.75" customHeight="1">
      <c r="A3" s="70" t="s">
        <v>315</v>
      </c>
      <c r="B3" s="71"/>
      <c r="C3" s="71"/>
      <c r="D3" s="71"/>
      <c r="E3" s="71"/>
    </row>
    <row r="4" spans="1:21" ht="16.5" thickBot="1">
      <c r="A4" s="59"/>
      <c r="B4" s="59"/>
      <c r="C4" s="59"/>
      <c r="D4" s="59"/>
      <c r="E4" s="59"/>
    </row>
    <row r="5" spans="1:21" ht="15.75">
      <c r="A5" s="2" t="s">
        <v>3</v>
      </c>
      <c r="B5" s="60" t="s">
        <v>54</v>
      </c>
      <c r="C5" s="60" t="s">
        <v>55</v>
      </c>
      <c r="D5" s="60" t="s">
        <v>42</v>
      </c>
    </row>
    <row r="6" spans="1:21" ht="16.5" thickBot="1">
      <c r="A6" s="4" t="s">
        <v>4</v>
      </c>
      <c r="B6" s="61"/>
      <c r="C6" s="61"/>
      <c r="D6" s="61"/>
    </row>
    <row r="7" spans="1:21" ht="13.5" customHeight="1">
      <c r="A7" s="39" t="s">
        <v>5</v>
      </c>
      <c r="B7" s="44" t="s">
        <v>6</v>
      </c>
      <c r="C7" s="44" t="s">
        <v>83</v>
      </c>
      <c r="D7" s="44">
        <f>IF(IFERROR(SEARCH("подразделения ≥ 4,5", C7), 0) &gt; 0, 5, IF(IFERROR(SEARCH("подразделения ≥ 4,0", C7), 0) &gt; 0, 3, IF(IFERROR(SEARCH("&lt;", C7), 0) &gt; 0, 0,)))</f>
        <v>3</v>
      </c>
      <c r="F7">
        <v>5</v>
      </c>
      <c r="G7" s="16" t="s">
        <v>82</v>
      </c>
      <c r="N7" s="15"/>
      <c r="U7" s="15"/>
    </row>
    <row r="8" spans="1:21" ht="20.25" customHeight="1">
      <c r="A8" s="51"/>
      <c r="B8" s="54"/>
      <c r="C8" s="52"/>
      <c r="D8" s="52"/>
      <c r="F8">
        <v>3</v>
      </c>
      <c r="G8" s="17" t="s">
        <v>83</v>
      </c>
      <c r="N8" s="13"/>
      <c r="U8" s="13"/>
    </row>
    <row r="9" spans="1:21" ht="18" customHeight="1" thickBot="1">
      <c r="A9" s="40"/>
      <c r="B9" s="55"/>
      <c r="C9" s="45"/>
      <c r="D9" s="45"/>
      <c r="F9">
        <v>0</v>
      </c>
      <c r="G9" s="18" t="s">
        <v>84</v>
      </c>
    </row>
    <row r="10" spans="1:21">
      <c r="A10" s="39" t="s">
        <v>7</v>
      </c>
      <c r="B10" s="44" t="s">
        <v>8</v>
      </c>
      <c r="C10" s="44" t="s">
        <v>85</v>
      </c>
      <c r="D10" s="44">
        <f>IF(IFERROR(SEARCH("отсутствуют", C10), 0) &gt; 0, 10, IF(IFERROR(SEARCH("имеются", C10), 0) &gt; 0, 0, ))</f>
        <v>10</v>
      </c>
      <c r="F10">
        <v>10</v>
      </c>
      <c r="G10" t="s">
        <v>85</v>
      </c>
    </row>
    <row r="11" spans="1:21" ht="24.75" customHeight="1" thickBot="1">
      <c r="A11" s="40"/>
      <c r="B11" s="45"/>
      <c r="C11" s="45"/>
      <c r="D11" s="45"/>
      <c r="F11">
        <v>0</v>
      </c>
      <c r="G11" s="13" t="s">
        <v>86</v>
      </c>
    </row>
    <row r="12" spans="1:21" ht="18" customHeight="1" thickBot="1">
      <c r="A12" s="39" t="s">
        <v>9</v>
      </c>
      <c r="B12" s="44" t="s">
        <v>10</v>
      </c>
      <c r="C12" s="44" t="s">
        <v>87</v>
      </c>
      <c r="D12" s="44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>5</v>
      </c>
      <c r="F12">
        <v>5</v>
      </c>
      <c r="G12" s="14" t="s">
        <v>87</v>
      </c>
    </row>
    <row r="13" spans="1:21" ht="15.75">
      <c r="A13" s="51"/>
      <c r="B13" s="52"/>
      <c r="C13" s="52"/>
      <c r="D13" s="52"/>
      <c r="F13">
        <v>3</v>
      </c>
      <c r="G13" s="13" t="s">
        <v>88</v>
      </c>
    </row>
    <row r="14" spans="1:21" ht="16.5" thickBot="1">
      <c r="A14" s="40"/>
      <c r="B14" s="45"/>
      <c r="C14" s="45"/>
      <c r="D14" s="45"/>
      <c r="F14">
        <v>0</v>
      </c>
      <c r="G14" s="13" t="s">
        <v>89</v>
      </c>
    </row>
    <row r="15" spans="1:21" ht="15.75">
      <c r="A15" s="39" t="s">
        <v>11</v>
      </c>
      <c r="B15" s="44" t="s">
        <v>12</v>
      </c>
      <c r="C15" s="41" t="s">
        <v>91</v>
      </c>
      <c r="D15" s="44">
        <f>IF(IFERROR(SEARCH("Отсутствуют", C15), 0) &gt; 0, 5, IF(IFERROR(SEARCH("Наличие одного", C15), 0) &gt; 0, 3, IF(IFERROR(SEARCH("Наличие двух", C15), 0) &gt; 0, 0,)))</f>
        <v>3</v>
      </c>
      <c r="F15">
        <v>5</v>
      </c>
      <c r="G15" s="19" t="s">
        <v>90</v>
      </c>
    </row>
    <row r="16" spans="1:21" ht="15.75">
      <c r="A16" s="51"/>
      <c r="B16" s="52"/>
      <c r="C16" s="53"/>
      <c r="D16" s="52"/>
      <c r="F16">
        <v>3</v>
      </c>
      <c r="G16" s="13" t="s">
        <v>91</v>
      </c>
    </row>
    <row r="17" spans="1:7" ht="92.25" customHeight="1" thickBot="1">
      <c r="A17" s="40"/>
      <c r="B17" s="45"/>
      <c r="C17" s="43"/>
      <c r="D17" s="45"/>
      <c r="F17">
        <v>0</v>
      </c>
      <c r="G17" s="13" t="s">
        <v>92</v>
      </c>
    </row>
    <row r="18" spans="1:7" ht="15" customHeight="1" thickBot="1">
      <c r="A18" s="39" t="s">
        <v>13</v>
      </c>
      <c r="B18" s="44" t="s">
        <v>14</v>
      </c>
      <c r="C18" s="41" t="s">
        <v>93</v>
      </c>
      <c r="D18" s="44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>10</v>
      </c>
      <c r="F18">
        <v>10</v>
      </c>
      <c r="G18" s="13" t="s">
        <v>93</v>
      </c>
    </row>
    <row r="19" spans="1:7" ht="15" customHeight="1" thickBot="1">
      <c r="A19" s="51"/>
      <c r="B19" s="52"/>
      <c r="C19" s="53"/>
      <c r="D19" s="52"/>
      <c r="F19">
        <v>2</v>
      </c>
      <c r="G19" s="14" t="s">
        <v>94</v>
      </c>
    </row>
    <row r="20" spans="1:7" ht="57" customHeight="1" thickBot="1">
      <c r="A20" s="40"/>
      <c r="B20" s="45"/>
      <c r="C20" s="43"/>
      <c r="D20" s="45"/>
      <c r="F20">
        <v>0</v>
      </c>
      <c r="G20" s="13" t="s">
        <v>95</v>
      </c>
    </row>
    <row r="21" spans="1:7" ht="15.75">
      <c r="A21" s="39" t="s">
        <v>15</v>
      </c>
      <c r="B21" s="44" t="s">
        <v>16</v>
      </c>
      <c r="C21" s="41" t="s">
        <v>96</v>
      </c>
      <c r="D21" s="44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>5</v>
      </c>
      <c r="F21">
        <v>5</v>
      </c>
      <c r="G21" s="13" t="s">
        <v>96</v>
      </c>
    </row>
    <row r="22" spans="1:7" ht="42.75" customHeight="1" thickBot="1">
      <c r="A22" s="40"/>
      <c r="B22" s="45"/>
      <c r="C22" s="43"/>
      <c r="D22" s="45"/>
      <c r="F22">
        <v>0</v>
      </c>
      <c r="G22" s="13" t="s">
        <v>97</v>
      </c>
    </row>
    <row r="23" spans="1:7" ht="15.75">
      <c r="A23" s="39" t="s">
        <v>17</v>
      </c>
      <c r="B23" s="44" t="s">
        <v>18</v>
      </c>
      <c r="C23" s="41" t="s">
        <v>19</v>
      </c>
      <c r="D23" s="44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>10</v>
      </c>
      <c r="F23">
        <v>10</v>
      </c>
      <c r="G23" s="13" t="s">
        <v>19</v>
      </c>
    </row>
    <row r="24" spans="1:7" ht="15.75">
      <c r="A24" s="51"/>
      <c r="B24" s="52"/>
      <c r="C24" s="53"/>
      <c r="D24" s="52"/>
      <c r="F24">
        <v>5</v>
      </c>
      <c r="G24" s="13" t="s">
        <v>98</v>
      </c>
    </row>
    <row r="25" spans="1:7" ht="82.5" customHeight="1" thickBot="1">
      <c r="A25" s="40"/>
      <c r="B25" s="45"/>
      <c r="C25" s="43"/>
      <c r="D25" s="45"/>
      <c r="F25">
        <v>0</v>
      </c>
      <c r="G25" s="13" t="s">
        <v>99</v>
      </c>
    </row>
    <row r="26" spans="1:7" ht="15.75">
      <c r="A26" s="39" t="s">
        <v>20</v>
      </c>
      <c r="B26" s="44" t="s">
        <v>21</v>
      </c>
      <c r="C26" s="41" t="s">
        <v>22</v>
      </c>
      <c r="D26" s="44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>3</v>
      </c>
      <c r="F26">
        <v>3</v>
      </c>
      <c r="G26" s="13" t="s">
        <v>22</v>
      </c>
    </row>
    <row r="27" spans="1:7" ht="41.25" customHeight="1" thickBot="1">
      <c r="A27" s="40"/>
      <c r="B27" s="45"/>
      <c r="C27" s="43"/>
      <c r="D27" s="45"/>
      <c r="F27">
        <v>0</v>
      </c>
      <c r="G27" s="13" t="s">
        <v>100</v>
      </c>
    </row>
    <row r="28" spans="1:7" ht="15.75">
      <c r="A28" s="39" t="s">
        <v>23</v>
      </c>
      <c r="B28" s="44" t="s">
        <v>24</v>
      </c>
      <c r="C28" s="41" t="s">
        <v>102</v>
      </c>
      <c r="D28" s="44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>3</v>
      </c>
      <c r="F28">
        <v>5</v>
      </c>
      <c r="G28" s="13" t="s">
        <v>101</v>
      </c>
    </row>
    <row r="29" spans="1:7" ht="15.75">
      <c r="A29" s="51"/>
      <c r="B29" s="52"/>
      <c r="C29" s="53"/>
      <c r="D29" s="52"/>
      <c r="F29">
        <v>3</v>
      </c>
      <c r="G29" s="13" t="s">
        <v>102</v>
      </c>
    </row>
    <row r="30" spans="1:7" ht="61.5" customHeight="1" thickBot="1">
      <c r="A30" s="40"/>
      <c r="B30" s="45"/>
      <c r="C30" s="43"/>
      <c r="D30" s="45"/>
      <c r="F30">
        <v>0</v>
      </c>
      <c r="G30" s="13" t="s">
        <v>103</v>
      </c>
    </row>
    <row r="31" spans="1:7" ht="15.75">
      <c r="A31" s="39" t="s">
        <v>25</v>
      </c>
      <c r="B31" s="44" t="s">
        <v>26</v>
      </c>
      <c r="C31" s="41" t="s">
        <v>104</v>
      </c>
      <c r="D31" s="44">
        <f>IF(IFERROR(SEARCH("Отсутствуют нарушения ТБ", C31), 0) &gt; 0, 10, IF(IFERROR(SEARCH("Имелись нарушения ТБ", C31), 0) &gt; 0, 0, ))</f>
        <v>10</v>
      </c>
      <c r="F31">
        <v>10</v>
      </c>
      <c r="G31" s="13" t="s">
        <v>104</v>
      </c>
    </row>
    <row r="32" spans="1:7" ht="33.75" customHeight="1" thickBot="1">
      <c r="A32" s="40"/>
      <c r="B32" s="45"/>
      <c r="C32" s="43"/>
      <c r="D32" s="45"/>
      <c r="F32">
        <v>0</v>
      </c>
      <c r="G32" s="13" t="s">
        <v>105</v>
      </c>
    </row>
    <row r="33" spans="1:7" ht="15.75">
      <c r="A33" s="39" t="s">
        <v>27</v>
      </c>
      <c r="B33" s="44" t="s">
        <v>28</v>
      </c>
      <c r="C33" s="41" t="s">
        <v>52</v>
      </c>
      <c r="D33" s="44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>10</v>
      </c>
      <c r="F33">
        <v>10</v>
      </c>
      <c r="G33" s="13" t="s">
        <v>52</v>
      </c>
    </row>
    <row r="34" spans="1:7" ht="15.75">
      <c r="A34" s="51"/>
      <c r="B34" s="52"/>
      <c r="C34" s="53"/>
      <c r="D34" s="52"/>
      <c r="F34">
        <v>5</v>
      </c>
      <c r="G34" s="13" t="s">
        <v>106</v>
      </c>
    </row>
    <row r="35" spans="1:7" ht="18" customHeight="1" thickBot="1">
      <c r="A35" s="40"/>
      <c r="B35" s="45"/>
      <c r="C35" s="43"/>
      <c r="D35" s="45"/>
      <c r="F35">
        <v>0</v>
      </c>
      <c r="G35" s="13" t="s">
        <v>107</v>
      </c>
    </row>
    <row r="36" spans="1:7" ht="15.75">
      <c r="A36" s="39" t="s">
        <v>29</v>
      </c>
      <c r="B36" s="44" t="s">
        <v>30</v>
      </c>
      <c r="C36" s="41" t="s">
        <v>31</v>
      </c>
      <c r="D36" s="44">
        <f>IF(IFERROR(SEARCH("Материальные средства ", C36), 0) &gt; 0, 5, IF(IFERROR(SEARCH("Не выполнены ", C36), 0) &gt; 0, 0, ))</f>
        <v>5</v>
      </c>
      <c r="F36">
        <v>5</v>
      </c>
      <c r="G36" s="13" t="s">
        <v>31</v>
      </c>
    </row>
    <row r="37" spans="1:7" ht="45" customHeight="1" thickBot="1">
      <c r="A37" s="40"/>
      <c r="B37" s="45"/>
      <c r="C37" s="43"/>
      <c r="D37" s="45"/>
      <c r="F37">
        <v>0</v>
      </c>
      <c r="G37" s="13" t="s">
        <v>110</v>
      </c>
    </row>
    <row r="38" spans="1:7" ht="15.75">
      <c r="A38" s="39" t="s">
        <v>32</v>
      </c>
      <c r="B38" s="44" t="s">
        <v>33</v>
      </c>
      <c r="C38" s="41" t="s">
        <v>108</v>
      </c>
      <c r="D38" s="44">
        <f>IF(IFERROR(SEARCH("5", C38), 0) &gt; 0, 2, IF(IFERROR(SEARCH("4", C38), 0) &gt; 0, 1, ))</f>
        <v>2</v>
      </c>
      <c r="F38">
        <v>2</v>
      </c>
      <c r="G38" s="13" t="s">
        <v>108</v>
      </c>
    </row>
    <row r="39" spans="1:7" ht="103.5" customHeight="1" thickBot="1">
      <c r="A39" s="40"/>
      <c r="B39" s="45"/>
      <c r="C39" s="43"/>
      <c r="D39" s="45"/>
      <c r="F39">
        <v>1</v>
      </c>
      <c r="G39" s="13" t="s">
        <v>109</v>
      </c>
    </row>
    <row r="40" spans="1:7">
      <c r="A40" s="46" t="s">
        <v>34</v>
      </c>
      <c r="B40" s="47"/>
      <c r="C40" s="66"/>
      <c r="D40" s="68">
        <f>SUM(D7:D39)</f>
        <v>79</v>
      </c>
      <c r="E40" s="65"/>
    </row>
    <row r="41" spans="1:7" ht="15.75" thickBot="1">
      <c r="A41" s="48"/>
      <c r="B41" s="49"/>
      <c r="C41" s="67"/>
      <c r="D41" s="69"/>
      <c r="E41" s="65"/>
    </row>
    <row r="43" spans="1:7" ht="20.25">
      <c r="A43" s="37" t="s">
        <v>35</v>
      </c>
      <c r="B43" s="37"/>
      <c r="C43" s="37"/>
      <c r="D43" s="5"/>
      <c r="E43" s="5"/>
    </row>
    <row r="44" spans="1:7" ht="20.25">
      <c r="A44" s="37"/>
      <c r="B44" s="37"/>
      <c r="C44" s="37"/>
      <c r="D44" s="6"/>
      <c r="E44" s="6"/>
    </row>
    <row r="45" spans="1:7" ht="20.25">
      <c r="A45" s="5"/>
      <c r="B45" s="5"/>
      <c r="C45" s="5" t="s">
        <v>36</v>
      </c>
      <c r="D45" s="5"/>
      <c r="E45" s="5"/>
    </row>
    <row r="46" spans="1:7" ht="20.25">
      <c r="A46" s="5"/>
      <c r="B46" s="5"/>
      <c r="C46" s="5" t="s">
        <v>307</v>
      </c>
    </row>
  </sheetData>
  <mergeCells count="63">
    <mergeCell ref="A1:E1"/>
    <mergeCell ref="A2:E2"/>
    <mergeCell ref="A3:E3"/>
    <mergeCell ref="A4:E4"/>
    <mergeCell ref="B5:B6"/>
    <mergeCell ref="C5:C6"/>
    <mergeCell ref="D5:D6"/>
    <mergeCell ref="A7:A9"/>
    <mergeCell ref="B7:B9"/>
    <mergeCell ref="C7:C9"/>
    <mergeCell ref="D7:D9"/>
    <mergeCell ref="A10:A11"/>
    <mergeCell ref="B10:B11"/>
    <mergeCell ref="C10:C11"/>
    <mergeCell ref="D10:D11"/>
    <mergeCell ref="A12:A14"/>
    <mergeCell ref="B12:B14"/>
    <mergeCell ref="C12:C14"/>
    <mergeCell ref="D12:D14"/>
    <mergeCell ref="A15:A17"/>
    <mergeCell ref="B15:B17"/>
    <mergeCell ref="C15:C17"/>
    <mergeCell ref="D15:D17"/>
    <mergeCell ref="A18:A20"/>
    <mergeCell ref="B18:B20"/>
    <mergeCell ref="C18:C20"/>
    <mergeCell ref="D18:D20"/>
    <mergeCell ref="A21:A22"/>
    <mergeCell ref="B21:B22"/>
    <mergeCell ref="C21:C22"/>
    <mergeCell ref="D21:D22"/>
    <mergeCell ref="A23:A25"/>
    <mergeCell ref="B23:B25"/>
    <mergeCell ref="C23:C25"/>
    <mergeCell ref="D23:D25"/>
    <mergeCell ref="A26:A27"/>
    <mergeCell ref="B26:B27"/>
    <mergeCell ref="C26:C27"/>
    <mergeCell ref="D26:D27"/>
    <mergeCell ref="A28:A30"/>
    <mergeCell ref="B28:B30"/>
    <mergeCell ref="C28:C30"/>
    <mergeCell ref="D28:D30"/>
    <mergeCell ref="A31:A32"/>
    <mergeCell ref="B31:B32"/>
    <mergeCell ref="C31:C32"/>
    <mergeCell ref="D31:D32"/>
    <mergeCell ref="A33:A35"/>
    <mergeCell ref="B33:B35"/>
    <mergeCell ref="C33:C35"/>
    <mergeCell ref="D33:D35"/>
    <mergeCell ref="A36:A37"/>
    <mergeCell ref="B36:B37"/>
    <mergeCell ref="C36:C37"/>
    <mergeCell ref="D36:D37"/>
    <mergeCell ref="E40:E41"/>
    <mergeCell ref="A43:C44"/>
    <mergeCell ref="A38:A39"/>
    <mergeCell ref="B38:B39"/>
    <mergeCell ref="C38:C39"/>
    <mergeCell ref="D38:D39"/>
    <mergeCell ref="A40:C41"/>
    <mergeCell ref="D40:D41"/>
  </mergeCells>
  <dataValidations count="13">
    <dataValidation type="list" allowBlank="1" showInputMessage="1" showErrorMessage="1" sqref="C7:C9">
      <formula1>$G$7:$G$9</formula1>
    </dataValidation>
    <dataValidation type="list" allowBlank="1" showInputMessage="1" showErrorMessage="1" sqref="C10:C11">
      <formula1>$G$10:$G$11</formula1>
    </dataValidation>
    <dataValidation type="list" allowBlank="1" showInputMessage="1" showErrorMessage="1" sqref="C12:C14">
      <formula1>$G$12:$G$14</formula1>
    </dataValidation>
    <dataValidation type="list" allowBlank="1" showInputMessage="1" showErrorMessage="1" sqref="C15:C17">
      <formula1>$G$15:$G$17</formula1>
    </dataValidation>
    <dataValidation type="list" allowBlank="1" showInputMessage="1" showErrorMessage="1" sqref="C18:C20">
      <formula1>$G$18:$G$20</formula1>
    </dataValidation>
    <dataValidation type="list" allowBlank="1" showInputMessage="1" showErrorMessage="1" sqref="C21:C22">
      <formula1>$G$21:$G$22</formula1>
    </dataValidation>
    <dataValidation type="list" allowBlank="1" showInputMessage="1" showErrorMessage="1" sqref="C23:C25">
      <formula1>$G$23:$G$25</formula1>
    </dataValidation>
    <dataValidation type="list" allowBlank="1" showInputMessage="1" showErrorMessage="1" sqref="C26:C27">
      <formula1>$G$26:$G$27</formula1>
    </dataValidation>
    <dataValidation type="list" allowBlank="1" showInputMessage="1" showErrorMessage="1" sqref="C28:C30">
      <formula1>$G$28:$G$30</formula1>
    </dataValidation>
    <dataValidation type="list" allowBlank="1" showInputMessage="1" showErrorMessage="1" sqref="C31:C32">
      <formula1>$G$31:$G$32</formula1>
    </dataValidation>
    <dataValidation type="list" allowBlank="1" showInputMessage="1" showErrorMessage="1" sqref="C33:C35">
      <formula1>$G$33:$G$35</formula1>
    </dataValidation>
    <dataValidation type="list" allowBlank="1" showInputMessage="1" showErrorMessage="1" sqref="C36:C37">
      <formula1>$G$36:$G$37</formula1>
    </dataValidation>
    <dataValidation type="list" allowBlank="1" showInputMessage="1" showErrorMessage="1" sqref="C38:C39">
      <formula1>$G$38:$G$39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theme="1"/>
  </sheetPr>
  <dimension ref="A1:L56"/>
  <sheetViews>
    <sheetView zoomScale="70" zoomScaleNormal="70" workbookViewId="0">
      <selection activeCell="C7" sqref="C7:C9"/>
    </sheetView>
  </sheetViews>
  <sheetFormatPr defaultRowHeight="15"/>
  <cols>
    <col min="2" max="2" width="26" customWidth="1"/>
    <col min="3" max="3" width="58.5703125" customWidth="1"/>
    <col min="4" max="4" width="28.5703125" customWidth="1"/>
    <col min="5" max="5" width="0.140625" customWidth="1"/>
    <col min="6" max="6" width="0.42578125" customWidth="1"/>
    <col min="7" max="11" width="9.140625" hidden="1" customWidth="1"/>
    <col min="12" max="12" width="12" hidden="1" customWidth="1"/>
    <col min="13" max="13" width="9.140625" customWidth="1"/>
  </cols>
  <sheetData>
    <row r="1" spans="1:12" ht="20.25">
      <c r="A1" s="56" t="s">
        <v>0</v>
      </c>
      <c r="B1" s="56"/>
      <c r="C1" s="56"/>
      <c r="D1" s="56"/>
      <c r="E1" s="56"/>
    </row>
    <row r="2" spans="1:12" ht="18.75">
      <c r="A2" s="57" t="s">
        <v>1</v>
      </c>
      <c r="B2" s="57"/>
      <c r="C2" s="57"/>
      <c r="D2" s="57"/>
      <c r="E2" s="57"/>
    </row>
    <row r="3" spans="1:12" ht="18.75" customHeight="1">
      <c r="A3" s="58" t="s">
        <v>314</v>
      </c>
      <c r="B3" s="57"/>
      <c r="C3" s="57"/>
      <c r="D3" s="57"/>
      <c r="E3" s="57"/>
    </row>
    <row r="4" spans="1:12" ht="16.5" thickBot="1">
      <c r="A4" s="59"/>
      <c r="B4" s="59"/>
      <c r="C4" s="59"/>
      <c r="D4" s="59"/>
      <c r="E4" s="59"/>
    </row>
    <row r="5" spans="1:12" ht="15.75" customHeight="1">
      <c r="A5" s="2" t="s">
        <v>3</v>
      </c>
      <c r="B5" s="60" t="s">
        <v>54</v>
      </c>
      <c r="C5" s="60" t="s">
        <v>55</v>
      </c>
      <c r="D5" s="60" t="s">
        <v>42</v>
      </c>
    </row>
    <row r="6" spans="1:12" ht="16.5" thickBot="1">
      <c r="A6" s="4" t="s">
        <v>4</v>
      </c>
      <c r="B6" s="61"/>
      <c r="C6" s="61"/>
      <c r="D6" s="61"/>
    </row>
    <row r="7" spans="1:12" ht="15" customHeight="1">
      <c r="A7" s="39" t="s">
        <v>5</v>
      </c>
      <c r="B7" s="44" t="s">
        <v>6</v>
      </c>
      <c r="C7" s="44" t="s">
        <v>345</v>
      </c>
      <c r="D7" s="44">
        <f>IF(IFERROR(SEARCH("подразделения ≥ 4,5", C7), 0) &gt; 0, 5, IF(IFERROR(SEARCH("подразделения ≥ 4,0", C7), 0) &gt; 0, 3, IF(IFERROR(SEARCH("&lt;", C7), 0) &gt; 0, 0,)))</f>
        <v>0</v>
      </c>
      <c r="F7">
        <v>5</v>
      </c>
      <c r="G7" s="16" t="s">
        <v>344</v>
      </c>
    </row>
    <row r="8" spans="1:12" ht="15" customHeight="1">
      <c r="A8" s="51"/>
      <c r="B8" s="54"/>
      <c r="C8" s="52"/>
      <c r="D8" s="52"/>
      <c r="F8">
        <v>3</v>
      </c>
      <c r="G8" s="17" t="s">
        <v>343</v>
      </c>
    </row>
    <row r="9" spans="1:12" ht="18.75" customHeight="1" thickBot="1">
      <c r="A9" s="40"/>
      <c r="B9" s="55"/>
      <c r="C9" s="45"/>
      <c r="D9" s="45"/>
      <c r="F9">
        <v>0</v>
      </c>
      <c r="G9" s="18" t="s">
        <v>345</v>
      </c>
    </row>
    <row r="10" spans="1:12" ht="15" customHeight="1">
      <c r="A10" s="39" t="s">
        <v>7</v>
      </c>
      <c r="B10" s="44" t="s">
        <v>8</v>
      </c>
      <c r="C10" s="44" t="s">
        <v>259</v>
      </c>
      <c r="D10" s="44">
        <f>IF(C10="Академические задолжности отсутствуют",10,0)</f>
        <v>10</v>
      </c>
      <c r="F10">
        <v>10</v>
      </c>
    </row>
    <row r="11" spans="1:12" ht="15.75" customHeight="1" thickBot="1">
      <c r="A11" s="40"/>
      <c r="B11" s="45"/>
      <c r="C11" s="45"/>
      <c r="D11" s="45"/>
      <c r="F11">
        <v>0</v>
      </c>
    </row>
    <row r="12" spans="1:12" ht="15" customHeight="1">
      <c r="A12" s="39" t="s">
        <v>9</v>
      </c>
      <c r="B12" s="44" t="s">
        <v>10</v>
      </c>
      <c r="C12" s="44" t="s">
        <v>260</v>
      </c>
      <c r="D12" s="44">
        <f>IF(C12="В подразделении и у КУГ отсутствуют текущие задолжности",5,IF(C12="Имеются менее 20% текущих задолжностей в подразделении или у КУГ",3,IF(C12="Имеются более 20% текущих задолжностей в подразделении или у КУГ",0,)))</f>
        <v>0</v>
      </c>
      <c r="F12">
        <v>5</v>
      </c>
    </row>
    <row r="13" spans="1:12" ht="15" customHeight="1">
      <c r="A13" s="51"/>
      <c r="B13" s="52"/>
      <c r="C13" s="52"/>
      <c r="D13" s="52"/>
      <c r="F13">
        <v>3</v>
      </c>
    </row>
    <row r="14" spans="1:12" ht="15.75" customHeight="1" thickBot="1">
      <c r="A14" s="40"/>
      <c r="B14" s="45"/>
      <c r="C14" s="45"/>
      <c r="D14" s="45"/>
      <c r="F14">
        <v>0</v>
      </c>
    </row>
    <row r="15" spans="1:12" ht="15" customHeight="1">
      <c r="A15" s="39" t="s">
        <v>11</v>
      </c>
      <c r="B15" s="44" t="s">
        <v>39</v>
      </c>
      <c r="C15" s="64" t="s">
        <v>78</v>
      </c>
      <c r="D15" s="44">
        <f>IF(C15="Подразделение прибыло на занятие своевременно; дежурный по аудитории назначен; ЖУУЗ и классная доска оформлены; литература, конспекты, ПЭВМ (по необходимости) получены; внутренний порядок в аудитории поддерживается",5,IF(C15="Подразделение прибыло на занятие своевременно; дежурный по аудитории назначен; литература, конспекты, ПЭВМ (по необходимости) получены; ЖУУЗ или классная доска оформлены не своевременно; или имеются отклонения по  внутреннему порядку в аудитории",3,IF(C15="одразделение опоздало на занятие; или ЖУУЗ и классная доска не оформлены; литература, конспекты, ПЭВМ (по необходимости) не получены; или внутренний порядок в аудитории не поддерживается ",0,)))</f>
        <v>0</v>
      </c>
      <c r="F15">
        <v>5</v>
      </c>
      <c r="L15" s="13" t="s">
        <v>40</v>
      </c>
    </row>
    <row r="16" spans="1:12" ht="15" customHeight="1">
      <c r="A16" s="51"/>
      <c r="B16" s="52"/>
      <c r="C16" s="62"/>
      <c r="D16" s="52"/>
      <c r="F16">
        <v>3</v>
      </c>
      <c r="L16" s="13" t="s">
        <v>77</v>
      </c>
    </row>
    <row r="17" spans="1:12" ht="52.5" customHeight="1" thickBot="1">
      <c r="A17" s="40"/>
      <c r="B17" s="45"/>
      <c r="C17" s="63"/>
      <c r="D17" s="45"/>
      <c r="F17">
        <v>0</v>
      </c>
      <c r="L17" t="s">
        <v>78</v>
      </c>
    </row>
    <row r="18" spans="1:12" ht="15" customHeight="1" thickBot="1">
      <c r="A18" s="39" t="s">
        <v>13</v>
      </c>
      <c r="B18" s="44" t="s">
        <v>41</v>
      </c>
      <c r="C18" s="64" t="s">
        <v>79</v>
      </c>
      <c r="D18" s="44">
        <f>IF(IFERROR(SEARCH("30%", C18), 0) &gt; 0, 5, IF(IFERROR(SEARCH("10%", C18), 0) &gt; 0, 3, IF(IFERROR(SEARCH("не получены", C18), 0) &gt; 0, 0,)))</f>
        <v>5</v>
      </c>
      <c r="F18">
        <v>10</v>
      </c>
      <c r="L18" s="14" t="s">
        <v>79</v>
      </c>
    </row>
    <row r="19" spans="1:12" ht="15" customHeight="1">
      <c r="A19" s="51"/>
      <c r="B19" s="52"/>
      <c r="C19" s="62"/>
      <c r="D19" s="52"/>
      <c r="F19">
        <v>2</v>
      </c>
      <c r="L19" s="13" t="s">
        <v>80</v>
      </c>
    </row>
    <row r="20" spans="1:12" ht="105" customHeight="1" thickBot="1">
      <c r="A20" s="40"/>
      <c r="B20" s="45"/>
      <c r="C20" s="63"/>
      <c r="D20" s="45"/>
      <c r="F20">
        <v>0</v>
      </c>
      <c r="L20" s="13" t="s">
        <v>81</v>
      </c>
    </row>
    <row r="21" spans="1:12" ht="15" customHeight="1">
      <c r="A21" s="39" t="s">
        <v>15</v>
      </c>
      <c r="B21" s="44" t="s">
        <v>12</v>
      </c>
      <c r="C21" s="41" t="s">
        <v>261</v>
      </c>
      <c r="D21" s="44">
        <f>IF(C21="Замечания в подразделении и у КУГ отсутствуют",5,IF(C21="В подразделении 2 замечания у КУГ отсутствуют",3,IF(C21="В подразделении 3 и более замечаний или замечания у КУГ",0,)))</f>
        <v>3</v>
      </c>
      <c r="F21">
        <v>5</v>
      </c>
    </row>
    <row r="22" spans="1:12" ht="15.75" customHeight="1">
      <c r="A22" s="51"/>
      <c r="B22" s="52"/>
      <c r="C22" s="53"/>
      <c r="D22" s="52"/>
      <c r="F22">
        <v>0</v>
      </c>
    </row>
    <row r="23" spans="1:12" ht="82.5" customHeight="1" thickBot="1">
      <c r="A23" s="40"/>
      <c r="B23" s="45"/>
      <c r="C23" s="43"/>
      <c r="D23" s="45"/>
      <c r="F23">
        <v>10</v>
      </c>
    </row>
    <row r="24" spans="1:12" ht="15" customHeight="1">
      <c r="A24" s="39" t="s">
        <v>17</v>
      </c>
      <c r="B24" s="44" t="s">
        <v>14</v>
      </c>
      <c r="C24" s="41" t="s">
        <v>262</v>
      </c>
      <c r="D24" s="44">
        <f>IF(C24="ПРО, ПРЕ, ГДП в подразделении и КУГ отсутствуют",10,IF(C24="ПРО, ПРЕ отсутствуют, имеются не снятые взыскания за ГДП в подразделении, у КУГ отсутствуют",2,IF(C24="Совершено ПРО, ПРЕ, ГДП в подразделении или КУГ или допущено сокрытие",0,)))</f>
        <v>10</v>
      </c>
      <c r="F24">
        <v>5</v>
      </c>
    </row>
    <row r="25" spans="1:12" ht="15.75" customHeight="1">
      <c r="A25" s="51"/>
      <c r="B25" s="52"/>
      <c r="C25" s="53"/>
      <c r="D25" s="52"/>
      <c r="F25">
        <v>0</v>
      </c>
    </row>
    <row r="26" spans="1:12" ht="52.5" customHeight="1" thickBot="1">
      <c r="A26" s="40"/>
      <c r="B26" s="45"/>
      <c r="C26" s="43"/>
      <c r="D26" s="45"/>
      <c r="F26">
        <v>3</v>
      </c>
    </row>
    <row r="27" spans="1:12" ht="15.75" customHeight="1">
      <c r="A27" s="39" t="s">
        <v>20</v>
      </c>
      <c r="B27" s="44" t="s">
        <v>16</v>
      </c>
      <c r="C27" s="41" t="s">
        <v>57</v>
      </c>
      <c r="D27" s="44">
        <f>IF(C27="Дисциплинарная практика к подчиненному личному составу ведется",5,0)</f>
        <v>5</v>
      </c>
      <c r="F27">
        <v>0</v>
      </c>
    </row>
    <row r="28" spans="1:12" ht="15" customHeight="1" thickBot="1">
      <c r="A28" s="40"/>
      <c r="B28" s="45"/>
      <c r="C28" s="43"/>
      <c r="D28" s="45"/>
      <c r="F28">
        <v>5</v>
      </c>
    </row>
    <row r="29" spans="1:12" ht="15" customHeight="1">
      <c r="A29" s="39" t="s">
        <v>23</v>
      </c>
      <c r="B29" s="44" t="s">
        <v>18</v>
      </c>
      <c r="C29" s="41" t="s">
        <v>60</v>
      </c>
      <c r="D29" s="44">
        <f>IF(C29="Обстановкой владеет, доклады представляет, книжка сержантов актуальна",10,IF(C29="Обстановкой владеет, доклады представляет, книжка сержантов не актуальна",5,IF(C29="Обстановкой не владеет, доклады не представляет, книжка сержантов не актуальна",0,)))</f>
        <v>10</v>
      </c>
      <c r="F29">
        <v>3</v>
      </c>
    </row>
    <row r="30" spans="1:12" ht="15.75" customHeight="1">
      <c r="A30" s="51"/>
      <c r="B30" s="52"/>
      <c r="C30" s="53"/>
      <c r="D30" s="52"/>
      <c r="F30">
        <v>0</v>
      </c>
    </row>
    <row r="31" spans="1:12" ht="105" customHeight="1" thickBot="1">
      <c r="A31" s="40"/>
      <c r="B31" s="45"/>
      <c r="C31" s="43"/>
      <c r="D31" s="45"/>
      <c r="F31">
        <v>10</v>
      </c>
    </row>
    <row r="32" spans="1:12" ht="26.25" customHeight="1">
      <c r="A32" s="39" t="s">
        <v>25</v>
      </c>
      <c r="B32" s="44" t="s">
        <v>21</v>
      </c>
      <c r="C32" s="41" t="s">
        <v>75</v>
      </c>
      <c r="D32" s="44">
        <f>IF(C32="Подведение итогов актуально, поставлены конкретные задачи и проводится в установленное время",3,0)</f>
        <v>3</v>
      </c>
      <c r="F32">
        <v>0</v>
      </c>
    </row>
    <row r="33" spans="1:6" ht="30" customHeight="1" thickBot="1">
      <c r="A33" s="40"/>
      <c r="B33" s="45"/>
      <c r="C33" s="43"/>
      <c r="D33" s="45"/>
      <c r="F33">
        <v>10</v>
      </c>
    </row>
    <row r="34" spans="1:6" ht="15" customHeight="1">
      <c r="A34" s="51" t="s">
        <v>27</v>
      </c>
      <c r="B34" s="52" t="s">
        <v>43</v>
      </c>
      <c r="C34" s="41" t="s">
        <v>263</v>
      </c>
      <c r="D34" s="62">
        <f>IF(C34="Увольнения распределены равномерно",2,0)</f>
        <v>2</v>
      </c>
      <c r="F34">
        <v>5</v>
      </c>
    </row>
    <row r="35" spans="1:6" ht="15.75" customHeight="1" thickBot="1">
      <c r="A35" s="40"/>
      <c r="B35" s="45"/>
      <c r="C35" s="43"/>
      <c r="D35" s="63"/>
      <c r="F35">
        <v>0</v>
      </c>
    </row>
    <row r="36" spans="1:6" ht="15" customHeight="1">
      <c r="A36" s="39" t="s">
        <v>29</v>
      </c>
      <c r="B36" s="44" t="s">
        <v>44</v>
      </c>
      <c r="C36" s="44" t="s">
        <v>61</v>
      </c>
      <c r="D36" s="64">
        <f>IF(C36="Наряды и уборщики распределены равномерно",2,IF(C36="Наряды распределены равномерно, уборщики не равномерно",1,IF(C36="Наряды и уборщики распределены не равномерно",0,)))</f>
        <v>2</v>
      </c>
      <c r="F36">
        <v>5</v>
      </c>
    </row>
    <row r="37" spans="1:6" ht="15.75" customHeight="1">
      <c r="A37" s="51"/>
      <c r="B37" s="52"/>
      <c r="C37" s="52"/>
      <c r="D37" s="62"/>
      <c r="F37">
        <v>0</v>
      </c>
    </row>
    <row r="38" spans="1:6" ht="38.25" customHeight="1" thickBot="1">
      <c r="A38" s="40"/>
      <c r="B38" s="45"/>
      <c r="C38" s="45"/>
      <c r="D38" s="63"/>
      <c r="F38">
        <v>2</v>
      </c>
    </row>
    <row r="39" spans="1:6" ht="15.75" customHeight="1">
      <c r="A39" s="39" t="s">
        <v>32</v>
      </c>
      <c r="B39" s="44" t="s">
        <v>24</v>
      </c>
      <c r="C39" s="41" t="s">
        <v>336</v>
      </c>
      <c r="D39" s="44">
        <f>IF(C39="Замечания у подчиненного л/с отсутствуют, КУГ оценен не ниже «хорошо»",5,IF(C39="Выявлено не более 2 замечаний у подчиненного л/с, КУГ оценен не ниже «хорошо»",3,IF(C39="Л/с отстранен или выявлено более 2 замечаний, КУГ оценен ниже «хорошо»",0,)))</f>
        <v>3</v>
      </c>
      <c r="F39">
        <v>1</v>
      </c>
    </row>
    <row r="40" spans="1:6" ht="15" customHeight="1">
      <c r="A40" s="51"/>
      <c r="B40" s="52"/>
      <c r="C40" s="53"/>
      <c r="D40" s="52"/>
    </row>
    <row r="41" spans="1:6" ht="40.5" customHeight="1" thickBot="1">
      <c r="A41" s="40"/>
      <c r="B41" s="45"/>
      <c r="C41" s="43"/>
      <c r="D41" s="45"/>
    </row>
    <row r="42" spans="1:6">
      <c r="A42" s="39" t="s">
        <v>45</v>
      </c>
      <c r="B42" s="44" t="s">
        <v>26</v>
      </c>
      <c r="C42" s="41" t="s">
        <v>65</v>
      </c>
      <c r="D42" s="44">
        <f>IF(C42="Нарушений ТБ, приведших к травматизму л/с нет",10,0)</f>
        <v>10</v>
      </c>
    </row>
    <row r="43" spans="1:6" ht="44.25" customHeight="1" thickBot="1">
      <c r="A43" s="40"/>
      <c r="B43" s="45"/>
      <c r="C43" s="43"/>
      <c r="D43" s="45"/>
    </row>
    <row r="44" spans="1:6">
      <c r="A44" s="39" t="s">
        <v>46</v>
      </c>
      <c r="B44" s="44" t="s">
        <v>28</v>
      </c>
      <c r="C44" s="41" t="s">
        <v>52</v>
      </c>
      <c r="D44" s="44">
        <f>IF(C44="Элементы распорядка дня соблюдаются",10,IF(C44="Не более пяти нарушений распорядка дня, срывов мероприятий не допущено",5,IF(C44="Более пяти нарушений элементов распорядка дня или мероприятие сорвано",0,)))</f>
        <v>10</v>
      </c>
    </row>
    <row r="45" spans="1:6">
      <c r="A45" s="51"/>
      <c r="B45" s="52"/>
      <c r="C45" s="53"/>
      <c r="D45" s="52"/>
    </row>
    <row r="46" spans="1:6" ht="15.75" thickBot="1">
      <c r="A46" s="40"/>
      <c r="B46" s="45"/>
      <c r="C46" s="43"/>
      <c r="D46" s="45"/>
    </row>
    <row r="47" spans="1:6">
      <c r="A47" s="39" t="s">
        <v>47</v>
      </c>
      <c r="B47" s="44" t="s">
        <v>30</v>
      </c>
      <c r="C47" s="41" t="s">
        <v>31</v>
      </c>
      <c r="D47" s="44">
        <f>IF(C47="Материальные средства подразделения в наличии, исправны, обслужены, хранятся правильно",5,0)</f>
        <v>5</v>
      </c>
    </row>
    <row r="48" spans="1:6" ht="45" customHeight="1" thickBot="1">
      <c r="A48" s="40"/>
      <c r="B48" s="45"/>
      <c r="C48" s="43"/>
      <c r="D48" s="45"/>
    </row>
    <row r="49" spans="1:5">
      <c r="A49" s="39" t="s">
        <v>48</v>
      </c>
      <c r="B49" s="44" t="s">
        <v>33</v>
      </c>
      <c r="C49" s="41" t="s">
        <v>49</v>
      </c>
      <c r="D49" s="44">
        <f>IF(C49="Оценка по физической подготовке (культуре) - 5",2,1)</f>
        <v>2</v>
      </c>
    </row>
    <row r="50" spans="1:5" ht="97.5" customHeight="1" thickBot="1">
      <c r="A50" s="40"/>
      <c r="B50" s="45"/>
      <c r="C50" s="43"/>
      <c r="D50" s="45"/>
    </row>
    <row r="51" spans="1:5" ht="15.75">
      <c r="A51" s="46" t="s">
        <v>34</v>
      </c>
      <c r="B51" s="47"/>
      <c r="C51" s="47"/>
      <c r="D51" s="50">
        <f>SUM(D7:D50)</f>
        <v>80</v>
      </c>
      <c r="E51" s="8"/>
    </row>
    <row r="52" spans="1:5" ht="16.5" thickBot="1">
      <c r="A52" s="48"/>
      <c r="B52" s="49"/>
      <c r="C52" s="49"/>
      <c r="D52" s="42"/>
      <c r="E52" s="8"/>
    </row>
    <row r="54" spans="1:5" ht="20.25">
      <c r="A54" s="37" t="s">
        <v>35</v>
      </c>
      <c r="B54" s="37"/>
      <c r="C54" s="37"/>
      <c r="D54" s="37"/>
      <c r="E54" s="37"/>
    </row>
    <row r="55" spans="1:5" ht="20.25">
      <c r="A55" s="38" t="s">
        <v>36</v>
      </c>
      <c r="B55" s="38"/>
      <c r="C55" s="38"/>
      <c r="D55" s="38"/>
      <c r="E55" s="38"/>
    </row>
    <row r="56" spans="1:5" ht="21">
      <c r="A56" s="9"/>
      <c r="B56" s="9"/>
      <c r="C56" s="5" t="s">
        <v>308</v>
      </c>
      <c r="D56" s="5"/>
      <c r="E56" s="9"/>
    </row>
  </sheetData>
  <mergeCells count="79">
    <mergeCell ref="A1:E1"/>
    <mergeCell ref="A2:E2"/>
    <mergeCell ref="A3:E3"/>
    <mergeCell ref="A4:E4"/>
    <mergeCell ref="B5:B6"/>
    <mergeCell ref="C5:C6"/>
    <mergeCell ref="D5:D6"/>
    <mergeCell ref="A7:A9"/>
    <mergeCell ref="B7:B9"/>
    <mergeCell ref="C7:C9"/>
    <mergeCell ref="D7:D9"/>
    <mergeCell ref="A10:A11"/>
    <mergeCell ref="B10:B11"/>
    <mergeCell ref="C10:C11"/>
    <mergeCell ref="D10:D11"/>
    <mergeCell ref="A12:A14"/>
    <mergeCell ref="B12:B14"/>
    <mergeCell ref="C12:C14"/>
    <mergeCell ref="D12:D14"/>
    <mergeCell ref="A15:A17"/>
    <mergeCell ref="B15:B17"/>
    <mergeCell ref="C15:C17"/>
    <mergeCell ref="D15:D17"/>
    <mergeCell ref="A18:A20"/>
    <mergeCell ref="B18:B20"/>
    <mergeCell ref="C18:C20"/>
    <mergeCell ref="D18:D20"/>
    <mergeCell ref="A21:A23"/>
    <mergeCell ref="B21:B23"/>
    <mergeCell ref="C21:C23"/>
    <mergeCell ref="D21:D23"/>
    <mergeCell ref="A24:A26"/>
    <mergeCell ref="B24:B26"/>
    <mergeCell ref="C24:C26"/>
    <mergeCell ref="D24:D26"/>
    <mergeCell ref="A27:A28"/>
    <mergeCell ref="B27:B28"/>
    <mergeCell ref="C27:C28"/>
    <mergeCell ref="D27:D28"/>
    <mergeCell ref="A29:A31"/>
    <mergeCell ref="B29:B31"/>
    <mergeCell ref="C29:C31"/>
    <mergeCell ref="D29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8"/>
    <mergeCell ref="B36:B38"/>
    <mergeCell ref="C36:C38"/>
    <mergeCell ref="D36:D38"/>
    <mergeCell ref="A39:A41"/>
    <mergeCell ref="B39:B41"/>
    <mergeCell ref="C39:C41"/>
    <mergeCell ref="D39:D41"/>
    <mergeCell ref="A42:A43"/>
    <mergeCell ref="B42:B43"/>
    <mergeCell ref="C42:C43"/>
    <mergeCell ref="D42:D43"/>
    <mergeCell ref="A44:A46"/>
    <mergeCell ref="B44:B46"/>
    <mergeCell ref="C44:C46"/>
    <mergeCell ref="D44:D46"/>
    <mergeCell ref="A47:A48"/>
    <mergeCell ref="B47:B48"/>
    <mergeCell ref="C47:C48"/>
    <mergeCell ref="D47:D48"/>
    <mergeCell ref="A54:E54"/>
    <mergeCell ref="A55:E55"/>
    <mergeCell ref="A49:A50"/>
    <mergeCell ref="B49:B50"/>
    <mergeCell ref="C49:C50"/>
    <mergeCell ref="D49:D50"/>
    <mergeCell ref="A51:C52"/>
    <mergeCell ref="D51:D52"/>
  </mergeCells>
  <dataValidations count="17">
    <dataValidation type="list" allowBlank="1" showInputMessage="1" showErrorMessage="1" sqref="C7:C9">
      <formula1>$G$7:$G$9</formula1>
    </dataValidation>
    <dataValidation type="list" allowBlank="1" showInputMessage="1" showErrorMessage="1" sqref="C10:C11">
      <formula1>"Академические задолжности отсутствуют, Имеются академические задолжности в учебной группе или у КУГ"</formula1>
    </dataValidation>
    <dataValidation type="list" allowBlank="1" showInputMessage="1" showErrorMessage="1" sqref="C12:C14">
      <formula1>"В подразделении и у КУГ отсутствуют текущие задолжности,Имеются менее 20% текущих задолжностей в подразделении или у КУГ,Имеются более 20% текущих задолжностей в подразделении или у КУГ"</formula1>
    </dataValidation>
    <dataValidation type="list" allowBlank="1" showInputMessage="1" showErrorMessage="1" sqref="C15:C17">
      <formula1>$L$15:$L$17</formula1>
    </dataValidation>
    <dataValidation type="list" allowBlank="1" showInputMessage="1" showErrorMessage="1" sqref="C21:C23">
      <formula1>"Замечания в подразделении и у КУГ отсутствуют,В подразделении 2 замечания у КУГ отсутствуют,В подразделении 3 и более замечаний или замечания у КУГ"</formula1>
    </dataValidation>
    <dataValidation type="list" allowBlank="1" showInputMessage="1" showErrorMessage="1" sqref="C24:C26">
      <formula1>"ПРО, ПРЕ, ГДП в подразделении и КУГ отсутствуют, ПРО, ПРЕ отсутствуют, имеются не снятые взыскания за ГДП в подразделении, у КУГ отсутствуют, Совершено ПРО, ПРЕ, ГДП в подразделении или КУГ или допущено сокрытие"</formula1>
    </dataValidation>
    <dataValidation type="list" allowBlank="1" showInputMessage="1" showErrorMessage="1" sqref="C27:C28">
      <formula1>"Дисциплинарная практика к подчиненному личному составу ведется,Дисциплинарная практика к подчиненному личному составу не реализуется или КУГ имеет дисциплинарные взыскания"</formula1>
    </dataValidation>
    <dataValidation type="list" allowBlank="1" showInputMessage="1" showErrorMessage="1" sqref="C29:C31">
      <formula1>"Обстановкой владеет, доклады представляет, книжка сержантов актуальна,Обстановкой владеет, доклады представляет, книжка сержантов не актуальна,Обстановкой не владеет, доклады не представляет, книжка сержантов не актуальна"</formula1>
    </dataValidation>
    <dataValidation type="list" allowBlank="1" showInputMessage="1" showErrorMessage="1" sqref="C32:C33">
      <formula1>"Подведение итогов актуально, поставлены конкретные задачи и проводится в установленное время,Подведение итогов не актуально, не поставлены задачи или не проводится"</formula1>
    </dataValidation>
    <dataValidation type="list" allowBlank="1" showInputMessage="1" showErrorMessage="1" sqref="C34:C35">
      <formula1>"Увольнения распределены равномерно,Увольнения распределяются не равномерно"</formula1>
    </dataValidation>
    <dataValidation type="list" allowBlank="1" showInputMessage="1" showErrorMessage="1" sqref="C36:C38">
      <formula1>"Наряды и уборщики распределены равномерно,Наряды распределены равномерно, уборщики не равномерно,Наряды и уборщики распределены не равномерно"</formula1>
    </dataValidation>
    <dataValidation type="list" allowBlank="1" showInputMessage="1" showErrorMessage="1" sqref="C39:C41">
      <formula1>"Замечания у подчиненного л/с отсутствуют, КУГ оценен не ниже «хорошо»,Выявлено не более 2 замечаний у подчиненного л/с, КУГ оценен не ниже «хорошо»,Л/с отстранен или выявлено более 2 замечаний, КУГ оценен ниже «хорошо»,"</formula1>
    </dataValidation>
    <dataValidation type="list" allowBlank="1" showInputMessage="1" showErrorMessage="1" sqref="C42:C43">
      <formula1>"Нарушений ТБ, приведших к травматизму л/с нет,Есть нарушения ТБ, приведших к травматизму л/с"</formula1>
    </dataValidation>
    <dataValidation type="list" allowBlank="1" showInputMessage="1" showErrorMessage="1" sqref="C44:C46">
      <formula1>"Элементы распорядка дня соблюдаются,Не более пяти нарушений распорядка дня, срывов мероприятий не допущено,Более пяти нарушений элементов распорядка дня или мероприятие сорвано"</formula1>
    </dataValidation>
    <dataValidation type="list" allowBlank="1" showInputMessage="1" showErrorMessage="1" sqref="C47:C48">
      <formula1>"Материальные средства подразделения в наличии, исправны, обслужены, хранятся правильно,Не выполнены предъявляемые критерии "</formula1>
    </dataValidation>
    <dataValidation type="list" allowBlank="1" showInputMessage="1" showErrorMessage="1" sqref="C49:C50">
      <formula1>"Оценка по физической подготовке (культуре) - 5,Оценка по физической подготовке (культуре) - 4"</formula1>
    </dataValidation>
    <dataValidation type="list" allowBlank="1" showInputMessage="1" showErrorMessage="1" sqref="C18:C20">
      <formula1>$L$18:$L$20</formula1>
    </dataValidation>
  </dataValidations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theme="1"/>
  </sheetPr>
  <dimension ref="A1:U46"/>
  <sheetViews>
    <sheetView topLeftCell="A19" zoomScale="70" zoomScaleNormal="70" workbookViewId="0">
      <selection activeCell="C28" sqref="C28:C30"/>
    </sheetView>
  </sheetViews>
  <sheetFormatPr defaultRowHeight="15"/>
  <cols>
    <col min="2" max="2" width="26" customWidth="1"/>
    <col min="3" max="3" width="58.5703125" customWidth="1"/>
    <col min="4" max="4" width="28.42578125" customWidth="1"/>
    <col min="5" max="5" width="24.140625" hidden="1" customWidth="1"/>
    <col min="6" max="6" width="24" hidden="1" customWidth="1"/>
    <col min="7" max="7" width="1.85546875" hidden="1" customWidth="1"/>
    <col min="8" max="8" width="18.42578125" customWidth="1"/>
  </cols>
  <sheetData>
    <row r="1" spans="1:21" ht="20.25">
      <c r="A1" s="56" t="s">
        <v>0</v>
      </c>
      <c r="B1" s="56"/>
      <c r="C1" s="56"/>
      <c r="D1" s="56"/>
      <c r="E1" s="56"/>
    </row>
    <row r="2" spans="1:21" ht="18.75">
      <c r="A2" s="57" t="s">
        <v>1</v>
      </c>
      <c r="B2" s="57"/>
      <c r="C2" s="57"/>
      <c r="D2" s="57"/>
      <c r="E2" s="57"/>
    </row>
    <row r="3" spans="1:21" ht="18.75" customHeight="1">
      <c r="A3" s="58" t="s">
        <v>313</v>
      </c>
      <c r="B3" s="57"/>
      <c r="C3" s="57"/>
      <c r="D3" s="57"/>
      <c r="E3" s="57"/>
    </row>
    <row r="4" spans="1:21" ht="16.5" thickBot="1">
      <c r="A4" s="59"/>
      <c r="B4" s="59"/>
      <c r="C4" s="59"/>
      <c r="D4" s="59"/>
      <c r="E4" s="59"/>
    </row>
    <row r="5" spans="1:21" ht="15.75">
      <c r="A5" s="2" t="s">
        <v>3</v>
      </c>
      <c r="B5" s="60" t="s">
        <v>54</v>
      </c>
      <c r="C5" s="60" t="s">
        <v>55</v>
      </c>
      <c r="D5" s="60" t="s">
        <v>42</v>
      </c>
    </row>
    <row r="6" spans="1:21" ht="16.5" thickBot="1">
      <c r="A6" s="4" t="s">
        <v>4</v>
      </c>
      <c r="B6" s="61"/>
      <c r="C6" s="61"/>
      <c r="D6" s="61"/>
    </row>
    <row r="7" spans="1:21" ht="13.5" customHeight="1">
      <c r="A7" s="39" t="s">
        <v>5</v>
      </c>
      <c r="B7" s="44" t="s">
        <v>6</v>
      </c>
      <c r="C7" s="44" t="s">
        <v>84</v>
      </c>
      <c r="D7" s="44">
        <f>IF(IFERROR(SEARCH("подразделения ≥ 4,5", C7), 0) &gt; 0, 5, IF(IFERROR(SEARCH("подразделения ≥ 4,0", C7), 0) &gt; 0, 3, IF(IFERROR(SEARCH("&lt;", C7), 0) &gt; 0, 0,)))</f>
        <v>0</v>
      </c>
      <c r="F7">
        <v>5</v>
      </c>
      <c r="G7" s="16" t="s">
        <v>82</v>
      </c>
      <c r="N7" s="15"/>
      <c r="U7" s="15"/>
    </row>
    <row r="8" spans="1:21" ht="20.25" customHeight="1">
      <c r="A8" s="51"/>
      <c r="B8" s="54"/>
      <c r="C8" s="52"/>
      <c r="D8" s="52"/>
      <c r="F8">
        <v>3</v>
      </c>
      <c r="G8" s="17" t="s">
        <v>83</v>
      </c>
      <c r="N8" s="13"/>
      <c r="U8" s="13"/>
    </row>
    <row r="9" spans="1:21" ht="18" customHeight="1" thickBot="1">
      <c r="A9" s="40"/>
      <c r="B9" s="55"/>
      <c r="C9" s="45"/>
      <c r="D9" s="45"/>
      <c r="F9">
        <v>0</v>
      </c>
      <c r="G9" s="18" t="s">
        <v>84</v>
      </c>
    </row>
    <row r="10" spans="1:21">
      <c r="A10" s="39" t="s">
        <v>7</v>
      </c>
      <c r="B10" s="44" t="s">
        <v>8</v>
      </c>
      <c r="C10" s="44" t="s">
        <v>85</v>
      </c>
      <c r="D10" s="44">
        <f>IF(IFERROR(SEARCH("отсутствуют", C10), 0) &gt; 0, 10, IF(IFERROR(SEARCH("имеются", C10), 0) &gt; 0, 0, ))</f>
        <v>10</v>
      </c>
      <c r="F10">
        <v>10</v>
      </c>
      <c r="G10" t="s">
        <v>85</v>
      </c>
    </row>
    <row r="11" spans="1:21" ht="24.75" customHeight="1" thickBot="1">
      <c r="A11" s="40"/>
      <c r="B11" s="45"/>
      <c r="C11" s="45"/>
      <c r="D11" s="45"/>
      <c r="F11">
        <v>0</v>
      </c>
      <c r="G11" s="13" t="s">
        <v>86</v>
      </c>
    </row>
    <row r="12" spans="1:21" ht="18" customHeight="1" thickBot="1">
      <c r="A12" s="39" t="s">
        <v>9</v>
      </c>
      <c r="B12" s="44" t="s">
        <v>10</v>
      </c>
      <c r="C12" s="44" t="s">
        <v>89</v>
      </c>
      <c r="D12" s="44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>0</v>
      </c>
      <c r="F12">
        <v>5</v>
      </c>
      <c r="G12" s="14" t="s">
        <v>87</v>
      </c>
    </row>
    <row r="13" spans="1:21" ht="15.75">
      <c r="A13" s="51"/>
      <c r="B13" s="52"/>
      <c r="C13" s="52"/>
      <c r="D13" s="52"/>
      <c r="F13">
        <v>3</v>
      </c>
      <c r="G13" s="13" t="s">
        <v>88</v>
      </c>
    </row>
    <row r="14" spans="1:21" ht="16.5" thickBot="1">
      <c r="A14" s="40"/>
      <c r="B14" s="45"/>
      <c r="C14" s="45"/>
      <c r="D14" s="45"/>
      <c r="F14">
        <v>0</v>
      </c>
      <c r="G14" s="13" t="s">
        <v>89</v>
      </c>
    </row>
    <row r="15" spans="1:21" ht="15.75">
      <c r="A15" s="39" t="s">
        <v>11</v>
      </c>
      <c r="B15" s="44" t="s">
        <v>12</v>
      </c>
      <c r="C15" s="41" t="s">
        <v>92</v>
      </c>
      <c r="D15" s="44">
        <f>IF(IFERROR(SEARCH("Отсутствуют", C15), 0) &gt; 0, 5, IF(IFERROR(SEARCH("Наличие одного", C15), 0) &gt; 0, 3, IF(IFERROR(SEARCH("Наличие двух", C15), 0) &gt; 0, 0,)))</f>
        <v>0</v>
      </c>
      <c r="F15">
        <v>5</v>
      </c>
      <c r="G15" s="19" t="s">
        <v>90</v>
      </c>
    </row>
    <row r="16" spans="1:21" ht="15.75">
      <c r="A16" s="51"/>
      <c r="B16" s="52"/>
      <c r="C16" s="53"/>
      <c r="D16" s="52"/>
      <c r="F16">
        <v>3</v>
      </c>
      <c r="G16" s="13" t="s">
        <v>91</v>
      </c>
    </row>
    <row r="17" spans="1:7" ht="92.25" customHeight="1" thickBot="1">
      <c r="A17" s="40"/>
      <c r="B17" s="45"/>
      <c r="C17" s="43"/>
      <c r="D17" s="45"/>
      <c r="F17">
        <v>0</v>
      </c>
      <c r="G17" s="13" t="s">
        <v>92</v>
      </c>
    </row>
    <row r="18" spans="1:7" ht="15" customHeight="1" thickBot="1">
      <c r="A18" s="39" t="s">
        <v>13</v>
      </c>
      <c r="B18" s="44" t="s">
        <v>14</v>
      </c>
      <c r="C18" s="41" t="s">
        <v>93</v>
      </c>
      <c r="D18" s="44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>10</v>
      </c>
      <c r="F18">
        <v>10</v>
      </c>
      <c r="G18" s="13" t="s">
        <v>93</v>
      </c>
    </row>
    <row r="19" spans="1:7" ht="15" customHeight="1" thickBot="1">
      <c r="A19" s="51"/>
      <c r="B19" s="52"/>
      <c r="C19" s="53"/>
      <c r="D19" s="52"/>
      <c r="F19">
        <v>2</v>
      </c>
      <c r="G19" s="14" t="s">
        <v>94</v>
      </c>
    </row>
    <row r="20" spans="1:7" ht="57" customHeight="1" thickBot="1">
      <c r="A20" s="40"/>
      <c r="B20" s="45"/>
      <c r="C20" s="43"/>
      <c r="D20" s="45"/>
      <c r="F20">
        <v>0</v>
      </c>
      <c r="G20" s="13" t="s">
        <v>95</v>
      </c>
    </row>
    <row r="21" spans="1:7" ht="15.75">
      <c r="A21" s="39" t="s">
        <v>15</v>
      </c>
      <c r="B21" s="44" t="s">
        <v>16</v>
      </c>
      <c r="C21" s="41" t="s">
        <v>96</v>
      </c>
      <c r="D21" s="44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>5</v>
      </c>
      <c r="F21">
        <v>5</v>
      </c>
      <c r="G21" s="13" t="s">
        <v>96</v>
      </c>
    </row>
    <row r="22" spans="1:7" ht="42.75" customHeight="1" thickBot="1">
      <c r="A22" s="40"/>
      <c r="B22" s="45"/>
      <c r="C22" s="43"/>
      <c r="D22" s="45"/>
      <c r="F22">
        <v>0</v>
      </c>
      <c r="G22" s="13" t="s">
        <v>97</v>
      </c>
    </row>
    <row r="23" spans="1:7" ht="15.75">
      <c r="A23" s="39" t="s">
        <v>17</v>
      </c>
      <c r="B23" s="44" t="s">
        <v>18</v>
      </c>
      <c r="C23" s="41" t="s">
        <v>19</v>
      </c>
      <c r="D23" s="44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>10</v>
      </c>
      <c r="F23">
        <v>10</v>
      </c>
      <c r="G23" s="13" t="s">
        <v>19</v>
      </c>
    </row>
    <row r="24" spans="1:7" ht="15.75">
      <c r="A24" s="51"/>
      <c r="B24" s="52"/>
      <c r="C24" s="53"/>
      <c r="D24" s="52"/>
      <c r="F24">
        <v>5</v>
      </c>
      <c r="G24" s="13" t="s">
        <v>98</v>
      </c>
    </row>
    <row r="25" spans="1:7" ht="82.5" customHeight="1" thickBot="1">
      <c r="A25" s="40"/>
      <c r="B25" s="45"/>
      <c r="C25" s="43"/>
      <c r="D25" s="45"/>
      <c r="F25">
        <v>0</v>
      </c>
      <c r="G25" s="13" t="s">
        <v>99</v>
      </c>
    </row>
    <row r="26" spans="1:7" ht="15.75">
      <c r="A26" s="39" t="s">
        <v>20</v>
      </c>
      <c r="B26" s="44" t="s">
        <v>21</v>
      </c>
      <c r="C26" s="41" t="s">
        <v>22</v>
      </c>
      <c r="D26" s="44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>3</v>
      </c>
      <c r="F26">
        <v>3</v>
      </c>
      <c r="G26" s="13" t="s">
        <v>22</v>
      </c>
    </row>
    <row r="27" spans="1:7" ht="41.25" customHeight="1" thickBot="1">
      <c r="A27" s="40"/>
      <c r="B27" s="45"/>
      <c r="C27" s="43"/>
      <c r="D27" s="45"/>
      <c r="F27">
        <v>0</v>
      </c>
      <c r="G27" s="13" t="s">
        <v>100</v>
      </c>
    </row>
    <row r="28" spans="1:7" ht="15.75">
      <c r="A28" s="39" t="s">
        <v>23</v>
      </c>
      <c r="B28" s="44" t="s">
        <v>24</v>
      </c>
      <c r="C28" s="41" t="s">
        <v>102</v>
      </c>
      <c r="D28" s="44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>3</v>
      </c>
      <c r="F28">
        <v>5</v>
      </c>
      <c r="G28" s="13" t="s">
        <v>101</v>
      </c>
    </row>
    <row r="29" spans="1:7" ht="15.75">
      <c r="A29" s="51"/>
      <c r="B29" s="52"/>
      <c r="C29" s="53"/>
      <c r="D29" s="52"/>
      <c r="F29">
        <v>3</v>
      </c>
      <c r="G29" s="13" t="s">
        <v>102</v>
      </c>
    </row>
    <row r="30" spans="1:7" ht="61.5" customHeight="1" thickBot="1">
      <c r="A30" s="40"/>
      <c r="B30" s="45"/>
      <c r="C30" s="43"/>
      <c r="D30" s="45"/>
      <c r="F30">
        <v>0</v>
      </c>
      <c r="G30" s="13" t="s">
        <v>103</v>
      </c>
    </row>
    <row r="31" spans="1:7" ht="15.75">
      <c r="A31" s="39" t="s">
        <v>25</v>
      </c>
      <c r="B31" s="44" t="s">
        <v>26</v>
      </c>
      <c r="C31" s="41" t="s">
        <v>104</v>
      </c>
      <c r="D31" s="44">
        <f>IF(IFERROR(SEARCH("Отсутствуют нарушения ТБ", C31), 0) &gt; 0, 10, IF(IFERROR(SEARCH("Имелись нарушения ТБ", C31), 0) &gt; 0, 0, ))</f>
        <v>10</v>
      </c>
      <c r="F31">
        <v>10</v>
      </c>
      <c r="G31" s="13" t="s">
        <v>104</v>
      </c>
    </row>
    <row r="32" spans="1:7" ht="33.75" customHeight="1" thickBot="1">
      <c r="A32" s="40"/>
      <c r="B32" s="45"/>
      <c r="C32" s="43"/>
      <c r="D32" s="45"/>
      <c r="F32">
        <v>0</v>
      </c>
      <c r="G32" s="13" t="s">
        <v>105</v>
      </c>
    </row>
    <row r="33" spans="1:7" ht="15.75">
      <c r="A33" s="39" t="s">
        <v>27</v>
      </c>
      <c r="B33" s="44" t="s">
        <v>28</v>
      </c>
      <c r="C33" s="41" t="s">
        <v>52</v>
      </c>
      <c r="D33" s="44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>10</v>
      </c>
      <c r="F33">
        <v>10</v>
      </c>
      <c r="G33" s="13" t="s">
        <v>52</v>
      </c>
    </row>
    <row r="34" spans="1:7" ht="15.75">
      <c r="A34" s="51"/>
      <c r="B34" s="52"/>
      <c r="C34" s="53"/>
      <c r="D34" s="52"/>
      <c r="F34">
        <v>5</v>
      </c>
      <c r="G34" s="13" t="s">
        <v>106</v>
      </c>
    </row>
    <row r="35" spans="1:7" ht="18" customHeight="1" thickBot="1">
      <c r="A35" s="40"/>
      <c r="B35" s="45"/>
      <c r="C35" s="43"/>
      <c r="D35" s="45"/>
      <c r="F35">
        <v>0</v>
      </c>
      <c r="G35" s="13" t="s">
        <v>107</v>
      </c>
    </row>
    <row r="36" spans="1:7" ht="15.75">
      <c r="A36" s="39" t="s">
        <v>29</v>
      </c>
      <c r="B36" s="44" t="s">
        <v>30</v>
      </c>
      <c r="C36" s="41" t="s">
        <v>31</v>
      </c>
      <c r="D36" s="44">
        <f>IF(IFERROR(SEARCH("Материальные средства ", C36), 0) &gt; 0, 5, IF(IFERROR(SEARCH("Не выполнены ", C36), 0) &gt; 0, 0, ))</f>
        <v>5</v>
      </c>
      <c r="F36">
        <v>5</v>
      </c>
      <c r="G36" s="13" t="s">
        <v>31</v>
      </c>
    </row>
    <row r="37" spans="1:7" ht="45" customHeight="1" thickBot="1">
      <c r="A37" s="40"/>
      <c r="B37" s="45"/>
      <c r="C37" s="43"/>
      <c r="D37" s="45"/>
      <c r="F37">
        <v>0</v>
      </c>
      <c r="G37" s="13" t="s">
        <v>110</v>
      </c>
    </row>
    <row r="38" spans="1:7" ht="15.75">
      <c r="A38" s="39" t="s">
        <v>32</v>
      </c>
      <c r="B38" s="44" t="s">
        <v>33</v>
      </c>
      <c r="C38" s="41" t="s">
        <v>108</v>
      </c>
      <c r="D38" s="44">
        <f>IF(IFERROR(SEARCH("5", C38), 0) &gt; 0, 2, IF(IFERROR(SEARCH("4", C38), 0) &gt; 0, 1, ))</f>
        <v>2</v>
      </c>
      <c r="F38">
        <v>2</v>
      </c>
      <c r="G38" s="13" t="s">
        <v>108</v>
      </c>
    </row>
    <row r="39" spans="1:7" ht="103.5" customHeight="1" thickBot="1">
      <c r="A39" s="40"/>
      <c r="B39" s="45"/>
      <c r="C39" s="43"/>
      <c r="D39" s="45"/>
      <c r="F39">
        <v>1</v>
      </c>
      <c r="G39" s="13" t="s">
        <v>109</v>
      </c>
    </row>
    <row r="40" spans="1:7">
      <c r="A40" s="46" t="s">
        <v>34</v>
      </c>
      <c r="B40" s="47"/>
      <c r="C40" s="66"/>
      <c r="D40" s="68">
        <f>SUM(D7:D39)</f>
        <v>68</v>
      </c>
      <c r="E40" s="65"/>
    </row>
    <row r="41" spans="1:7" ht="15.75" thickBot="1">
      <c r="A41" s="48"/>
      <c r="B41" s="49"/>
      <c r="C41" s="67"/>
      <c r="D41" s="69"/>
      <c r="E41" s="65"/>
    </row>
    <row r="43" spans="1:7" ht="20.25">
      <c r="A43" s="37" t="s">
        <v>35</v>
      </c>
      <c r="B43" s="37"/>
      <c r="C43" s="37"/>
      <c r="D43" s="5"/>
      <c r="E43" s="5"/>
    </row>
    <row r="44" spans="1:7" ht="20.25">
      <c r="A44" s="37"/>
      <c r="B44" s="37"/>
      <c r="C44" s="37"/>
      <c r="D44" s="6"/>
      <c r="E44" s="6"/>
    </row>
    <row r="45" spans="1:7" ht="20.25">
      <c r="A45" s="5"/>
      <c r="B45" s="5"/>
      <c r="C45" s="5" t="s">
        <v>36</v>
      </c>
      <c r="D45" s="5"/>
      <c r="E45" s="5"/>
    </row>
    <row r="46" spans="1:7" ht="20.25">
      <c r="A46" s="5"/>
      <c r="B46" s="5"/>
      <c r="C46" s="5" t="s">
        <v>307</v>
      </c>
    </row>
  </sheetData>
  <mergeCells count="63">
    <mergeCell ref="A1:E1"/>
    <mergeCell ref="A2:E2"/>
    <mergeCell ref="A3:E3"/>
    <mergeCell ref="A4:E4"/>
    <mergeCell ref="B5:B6"/>
    <mergeCell ref="C5:C6"/>
    <mergeCell ref="D5:D6"/>
    <mergeCell ref="A7:A9"/>
    <mergeCell ref="B7:B9"/>
    <mergeCell ref="C7:C9"/>
    <mergeCell ref="D7:D9"/>
    <mergeCell ref="A10:A11"/>
    <mergeCell ref="B10:B11"/>
    <mergeCell ref="C10:C11"/>
    <mergeCell ref="D10:D11"/>
    <mergeCell ref="A12:A14"/>
    <mergeCell ref="B12:B14"/>
    <mergeCell ref="C12:C14"/>
    <mergeCell ref="D12:D14"/>
    <mergeCell ref="A15:A17"/>
    <mergeCell ref="B15:B17"/>
    <mergeCell ref="C15:C17"/>
    <mergeCell ref="D15:D17"/>
    <mergeCell ref="A18:A20"/>
    <mergeCell ref="B18:B20"/>
    <mergeCell ref="C18:C20"/>
    <mergeCell ref="D18:D20"/>
    <mergeCell ref="A21:A22"/>
    <mergeCell ref="B21:B22"/>
    <mergeCell ref="C21:C22"/>
    <mergeCell ref="D21:D22"/>
    <mergeCell ref="A23:A25"/>
    <mergeCell ref="B23:B25"/>
    <mergeCell ref="C23:C25"/>
    <mergeCell ref="D23:D25"/>
    <mergeCell ref="A26:A27"/>
    <mergeCell ref="B26:B27"/>
    <mergeCell ref="C26:C27"/>
    <mergeCell ref="D26:D27"/>
    <mergeCell ref="A28:A30"/>
    <mergeCell ref="B28:B30"/>
    <mergeCell ref="C28:C30"/>
    <mergeCell ref="D28:D30"/>
    <mergeCell ref="A31:A32"/>
    <mergeCell ref="B31:B32"/>
    <mergeCell ref="C31:C32"/>
    <mergeCell ref="D31:D32"/>
    <mergeCell ref="A33:A35"/>
    <mergeCell ref="B33:B35"/>
    <mergeCell ref="C33:C35"/>
    <mergeCell ref="D33:D35"/>
    <mergeCell ref="A36:A37"/>
    <mergeCell ref="B36:B37"/>
    <mergeCell ref="C36:C37"/>
    <mergeCell ref="D36:D37"/>
    <mergeCell ref="E40:E41"/>
    <mergeCell ref="A43:C44"/>
    <mergeCell ref="A38:A39"/>
    <mergeCell ref="B38:B39"/>
    <mergeCell ref="C38:C39"/>
    <mergeCell ref="D38:D39"/>
    <mergeCell ref="A40:C41"/>
    <mergeCell ref="D40:D41"/>
  </mergeCells>
  <dataValidations count="13">
    <dataValidation type="list" allowBlank="1" showInputMessage="1" showErrorMessage="1" sqref="C7:C9">
      <formula1>$G$7:$G$9</formula1>
    </dataValidation>
    <dataValidation type="list" allowBlank="1" showInputMessage="1" showErrorMessage="1" sqref="C10:C11">
      <formula1>$G$10:$G$11</formula1>
    </dataValidation>
    <dataValidation type="list" allowBlank="1" showInputMessage="1" showErrorMessage="1" sqref="C12:C14">
      <formula1>$G$12:$G$14</formula1>
    </dataValidation>
    <dataValidation type="list" allowBlank="1" showInputMessage="1" showErrorMessage="1" sqref="C15:C17">
      <formula1>$G$15:$G$17</formula1>
    </dataValidation>
    <dataValidation type="list" allowBlank="1" showInputMessage="1" showErrorMessage="1" sqref="C18:C20">
      <formula1>$G$18:$G$20</formula1>
    </dataValidation>
    <dataValidation type="list" allowBlank="1" showInputMessage="1" showErrorMessage="1" sqref="C21:C22">
      <formula1>$G$21:$G$22</formula1>
    </dataValidation>
    <dataValidation type="list" allowBlank="1" showInputMessage="1" showErrorMessage="1" sqref="C23:C25">
      <formula1>$G$23:$G$25</formula1>
    </dataValidation>
    <dataValidation type="list" allowBlank="1" showInputMessage="1" showErrorMessage="1" sqref="C26:C27">
      <formula1>$G$26:$G$27</formula1>
    </dataValidation>
    <dataValidation type="list" allowBlank="1" showInputMessage="1" showErrorMessage="1" sqref="C28:C30">
      <formula1>$G$28:$G$30</formula1>
    </dataValidation>
    <dataValidation type="list" allowBlank="1" showInputMessage="1" showErrorMessage="1" sqref="C31:C32">
      <formula1>$G$31:$G$32</formula1>
    </dataValidation>
    <dataValidation type="list" allowBlank="1" showInputMessage="1" showErrorMessage="1" sqref="C33:C35">
      <formula1>$G$33:$G$35</formula1>
    </dataValidation>
    <dataValidation type="list" allowBlank="1" showInputMessage="1" showErrorMessage="1" sqref="C36:C37">
      <formula1>$G$36:$G$37</formula1>
    </dataValidation>
    <dataValidation type="list" allowBlank="1" showInputMessage="1" showErrorMessage="1" sqref="C38:C39">
      <formula1>$G$38:$G$39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theme="1"/>
  </sheetPr>
  <dimension ref="A1:U46"/>
  <sheetViews>
    <sheetView topLeftCell="A22" zoomScale="85" zoomScaleNormal="85" workbookViewId="0">
      <selection activeCell="C28" sqref="C28:C30"/>
    </sheetView>
  </sheetViews>
  <sheetFormatPr defaultRowHeight="15"/>
  <cols>
    <col min="2" max="2" width="26" customWidth="1"/>
    <col min="3" max="3" width="58.5703125" customWidth="1"/>
    <col min="4" max="4" width="28.42578125" customWidth="1"/>
    <col min="5" max="5" width="24.140625" hidden="1" customWidth="1"/>
    <col min="6" max="6" width="24" hidden="1" customWidth="1"/>
    <col min="7" max="7" width="1.85546875" hidden="1" customWidth="1"/>
    <col min="8" max="8" width="18.42578125" customWidth="1"/>
  </cols>
  <sheetData>
    <row r="1" spans="1:21" ht="20.25">
      <c r="A1" s="56" t="s">
        <v>0</v>
      </c>
      <c r="B1" s="56"/>
      <c r="C1" s="56"/>
      <c r="D1" s="56"/>
      <c r="E1" s="56"/>
    </row>
    <row r="2" spans="1:21" ht="18.75">
      <c r="A2" s="57" t="s">
        <v>1</v>
      </c>
      <c r="B2" s="57"/>
      <c r="C2" s="57"/>
      <c r="D2" s="57"/>
      <c r="E2" s="57"/>
    </row>
    <row r="3" spans="1:21" ht="18.75" customHeight="1">
      <c r="A3" s="70" t="s">
        <v>312</v>
      </c>
      <c r="B3" s="71"/>
      <c r="C3" s="71"/>
      <c r="D3" s="71"/>
      <c r="E3" s="71"/>
    </row>
    <row r="4" spans="1:21" ht="16.5" thickBot="1">
      <c r="A4" s="59"/>
      <c r="B4" s="59"/>
      <c r="C4" s="59"/>
      <c r="D4" s="59"/>
      <c r="E4" s="59"/>
    </row>
    <row r="5" spans="1:21" ht="15.75">
      <c r="A5" s="2" t="s">
        <v>3</v>
      </c>
      <c r="B5" s="60" t="s">
        <v>54</v>
      </c>
      <c r="C5" s="60" t="s">
        <v>55</v>
      </c>
      <c r="D5" s="60" t="s">
        <v>42</v>
      </c>
    </row>
    <row r="6" spans="1:21" ht="16.5" thickBot="1">
      <c r="A6" s="4" t="s">
        <v>4</v>
      </c>
      <c r="B6" s="61"/>
      <c r="C6" s="61"/>
      <c r="D6" s="61"/>
    </row>
    <row r="7" spans="1:21" ht="13.5" customHeight="1">
      <c r="A7" s="39" t="s">
        <v>5</v>
      </c>
      <c r="B7" s="44" t="s">
        <v>6</v>
      </c>
      <c r="C7" s="44" t="s">
        <v>84</v>
      </c>
      <c r="D7" s="44">
        <f>IF(IFERROR(SEARCH("подразделения ≥ 4,5", C7), 0) &gt; 0, 5, IF(IFERROR(SEARCH("подразделения ≥ 4,0", C7), 0) &gt; 0, 3, IF(IFERROR(SEARCH("&lt;", C7), 0) &gt; 0, 0,)))</f>
        <v>0</v>
      </c>
      <c r="F7">
        <v>5</v>
      </c>
      <c r="G7" s="16" t="s">
        <v>82</v>
      </c>
      <c r="N7" s="15"/>
      <c r="U7" s="15"/>
    </row>
    <row r="8" spans="1:21" ht="20.25" customHeight="1">
      <c r="A8" s="51"/>
      <c r="B8" s="54"/>
      <c r="C8" s="52"/>
      <c r="D8" s="52"/>
      <c r="F8">
        <v>3</v>
      </c>
      <c r="G8" s="17" t="s">
        <v>83</v>
      </c>
      <c r="N8" s="13"/>
      <c r="U8" s="13"/>
    </row>
    <row r="9" spans="1:21" ht="18" customHeight="1" thickBot="1">
      <c r="A9" s="40"/>
      <c r="B9" s="55"/>
      <c r="C9" s="45"/>
      <c r="D9" s="45"/>
      <c r="F9">
        <v>0</v>
      </c>
      <c r="G9" s="18" t="s">
        <v>84</v>
      </c>
    </row>
    <row r="10" spans="1:21">
      <c r="A10" s="39" t="s">
        <v>7</v>
      </c>
      <c r="B10" s="44" t="s">
        <v>8</v>
      </c>
      <c r="C10" s="44" t="s">
        <v>85</v>
      </c>
      <c r="D10" s="44">
        <f>IF(IFERROR(SEARCH("отсутствуют", C10), 0) &gt; 0, 10, IF(IFERROR(SEARCH("имеются", C10), 0) &gt; 0, 0, ))</f>
        <v>10</v>
      </c>
      <c r="F10">
        <v>10</v>
      </c>
      <c r="G10" t="s">
        <v>85</v>
      </c>
    </row>
    <row r="11" spans="1:21" ht="24.75" customHeight="1" thickBot="1">
      <c r="A11" s="40"/>
      <c r="B11" s="45"/>
      <c r="C11" s="45"/>
      <c r="D11" s="45"/>
      <c r="F11">
        <v>0</v>
      </c>
      <c r="G11" s="13" t="s">
        <v>86</v>
      </c>
    </row>
    <row r="12" spans="1:21" ht="18" customHeight="1" thickBot="1">
      <c r="A12" s="39" t="s">
        <v>9</v>
      </c>
      <c r="B12" s="44" t="s">
        <v>10</v>
      </c>
      <c r="C12" s="44" t="s">
        <v>89</v>
      </c>
      <c r="D12" s="44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>0</v>
      </c>
      <c r="F12">
        <v>5</v>
      </c>
      <c r="G12" s="14" t="s">
        <v>87</v>
      </c>
    </row>
    <row r="13" spans="1:21" ht="15.75">
      <c r="A13" s="51"/>
      <c r="B13" s="52"/>
      <c r="C13" s="52"/>
      <c r="D13" s="52"/>
      <c r="F13">
        <v>3</v>
      </c>
      <c r="G13" s="13" t="s">
        <v>88</v>
      </c>
    </row>
    <row r="14" spans="1:21" ht="16.5" thickBot="1">
      <c r="A14" s="40"/>
      <c r="B14" s="45"/>
      <c r="C14" s="45"/>
      <c r="D14" s="45"/>
      <c r="F14">
        <v>0</v>
      </c>
      <c r="G14" s="13" t="s">
        <v>89</v>
      </c>
    </row>
    <row r="15" spans="1:21" ht="15.75">
      <c r="A15" s="39" t="s">
        <v>11</v>
      </c>
      <c r="B15" s="44" t="s">
        <v>12</v>
      </c>
      <c r="C15" s="41" t="s">
        <v>92</v>
      </c>
      <c r="D15" s="44">
        <f>IF(IFERROR(SEARCH("Отсутствуют", C15), 0) &gt; 0, 5, IF(IFERROR(SEARCH("Наличие одного", C15), 0) &gt; 0, 3, IF(IFERROR(SEARCH("Наличие двух", C15), 0) &gt; 0, 0,)))</f>
        <v>0</v>
      </c>
      <c r="F15">
        <v>5</v>
      </c>
      <c r="G15" s="19" t="s">
        <v>90</v>
      </c>
    </row>
    <row r="16" spans="1:21" ht="15.75">
      <c r="A16" s="51"/>
      <c r="B16" s="52"/>
      <c r="C16" s="53"/>
      <c r="D16" s="52"/>
      <c r="F16">
        <v>3</v>
      </c>
      <c r="G16" s="13" t="s">
        <v>91</v>
      </c>
    </row>
    <row r="17" spans="1:7" ht="92.25" customHeight="1" thickBot="1">
      <c r="A17" s="40"/>
      <c r="B17" s="45"/>
      <c r="C17" s="43"/>
      <c r="D17" s="45"/>
      <c r="F17">
        <v>0</v>
      </c>
      <c r="G17" s="13" t="s">
        <v>92</v>
      </c>
    </row>
    <row r="18" spans="1:7" ht="15" customHeight="1" thickBot="1">
      <c r="A18" s="39" t="s">
        <v>13</v>
      </c>
      <c r="B18" s="44" t="s">
        <v>14</v>
      </c>
      <c r="C18" s="41" t="s">
        <v>93</v>
      </c>
      <c r="D18" s="44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>10</v>
      </c>
      <c r="F18">
        <v>10</v>
      </c>
      <c r="G18" s="13" t="s">
        <v>93</v>
      </c>
    </row>
    <row r="19" spans="1:7" ht="15" customHeight="1" thickBot="1">
      <c r="A19" s="51"/>
      <c r="B19" s="52"/>
      <c r="C19" s="53"/>
      <c r="D19" s="52"/>
      <c r="F19">
        <v>2</v>
      </c>
      <c r="G19" s="14" t="s">
        <v>94</v>
      </c>
    </row>
    <row r="20" spans="1:7" ht="57" customHeight="1" thickBot="1">
      <c r="A20" s="40"/>
      <c r="B20" s="45"/>
      <c r="C20" s="43"/>
      <c r="D20" s="45"/>
      <c r="F20">
        <v>0</v>
      </c>
      <c r="G20" s="13" t="s">
        <v>95</v>
      </c>
    </row>
    <row r="21" spans="1:7" ht="15.75">
      <c r="A21" s="39" t="s">
        <v>15</v>
      </c>
      <c r="B21" s="44" t="s">
        <v>16</v>
      </c>
      <c r="C21" s="41" t="s">
        <v>96</v>
      </c>
      <c r="D21" s="44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>5</v>
      </c>
      <c r="F21">
        <v>5</v>
      </c>
      <c r="G21" s="13" t="s">
        <v>96</v>
      </c>
    </row>
    <row r="22" spans="1:7" ht="42.75" customHeight="1" thickBot="1">
      <c r="A22" s="40"/>
      <c r="B22" s="45"/>
      <c r="C22" s="43"/>
      <c r="D22" s="45"/>
      <c r="F22">
        <v>0</v>
      </c>
      <c r="G22" s="13" t="s">
        <v>97</v>
      </c>
    </row>
    <row r="23" spans="1:7" ht="15.75">
      <c r="A23" s="39" t="s">
        <v>17</v>
      </c>
      <c r="B23" s="44" t="s">
        <v>18</v>
      </c>
      <c r="C23" s="41" t="s">
        <v>19</v>
      </c>
      <c r="D23" s="44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>10</v>
      </c>
      <c r="F23">
        <v>10</v>
      </c>
      <c r="G23" s="13" t="s">
        <v>19</v>
      </c>
    </row>
    <row r="24" spans="1:7" ht="15.75">
      <c r="A24" s="51"/>
      <c r="B24" s="52"/>
      <c r="C24" s="53"/>
      <c r="D24" s="52"/>
      <c r="F24">
        <v>5</v>
      </c>
      <c r="G24" s="13" t="s">
        <v>98</v>
      </c>
    </row>
    <row r="25" spans="1:7" ht="82.5" customHeight="1" thickBot="1">
      <c r="A25" s="40"/>
      <c r="B25" s="45"/>
      <c r="C25" s="43"/>
      <c r="D25" s="45"/>
      <c r="F25">
        <v>0</v>
      </c>
      <c r="G25" s="13" t="s">
        <v>99</v>
      </c>
    </row>
    <row r="26" spans="1:7" ht="15.75">
      <c r="A26" s="39" t="s">
        <v>20</v>
      </c>
      <c r="B26" s="44" t="s">
        <v>21</v>
      </c>
      <c r="C26" s="41" t="s">
        <v>22</v>
      </c>
      <c r="D26" s="44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>3</v>
      </c>
      <c r="F26">
        <v>3</v>
      </c>
      <c r="G26" s="13" t="s">
        <v>22</v>
      </c>
    </row>
    <row r="27" spans="1:7" ht="41.25" customHeight="1" thickBot="1">
      <c r="A27" s="40"/>
      <c r="B27" s="45"/>
      <c r="C27" s="43"/>
      <c r="D27" s="45"/>
      <c r="F27">
        <v>0</v>
      </c>
      <c r="G27" s="13" t="s">
        <v>100</v>
      </c>
    </row>
    <row r="28" spans="1:7" ht="15.75">
      <c r="A28" s="39" t="s">
        <v>23</v>
      </c>
      <c r="B28" s="44" t="s">
        <v>24</v>
      </c>
      <c r="C28" s="41" t="s">
        <v>102</v>
      </c>
      <c r="D28" s="44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>3</v>
      </c>
      <c r="F28">
        <v>5</v>
      </c>
      <c r="G28" s="13" t="s">
        <v>101</v>
      </c>
    </row>
    <row r="29" spans="1:7" ht="15.75">
      <c r="A29" s="51"/>
      <c r="B29" s="52"/>
      <c r="C29" s="53"/>
      <c r="D29" s="52"/>
      <c r="F29">
        <v>3</v>
      </c>
      <c r="G29" s="13" t="s">
        <v>102</v>
      </c>
    </row>
    <row r="30" spans="1:7" ht="61.5" customHeight="1" thickBot="1">
      <c r="A30" s="40"/>
      <c r="B30" s="45"/>
      <c r="C30" s="43"/>
      <c r="D30" s="45"/>
      <c r="F30">
        <v>0</v>
      </c>
      <c r="G30" s="13" t="s">
        <v>103</v>
      </c>
    </row>
    <row r="31" spans="1:7" ht="15.75">
      <c r="A31" s="39" t="s">
        <v>25</v>
      </c>
      <c r="B31" s="44" t="s">
        <v>26</v>
      </c>
      <c r="C31" s="41" t="s">
        <v>104</v>
      </c>
      <c r="D31" s="44">
        <f>IF(IFERROR(SEARCH("Отсутствуют нарушения ТБ", C31), 0) &gt; 0, 10, IF(IFERROR(SEARCH("Имелись нарушения ТБ", C31), 0) &gt; 0, 0, ))</f>
        <v>10</v>
      </c>
      <c r="F31">
        <v>10</v>
      </c>
      <c r="G31" s="13" t="s">
        <v>104</v>
      </c>
    </row>
    <row r="32" spans="1:7" ht="33.75" customHeight="1" thickBot="1">
      <c r="A32" s="40"/>
      <c r="B32" s="45"/>
      <c r="C32" s="43"/>
      <c r="D32" s="45"/>
      <c r="F32">
        <v>0</v>
      </c>
      <c r="G32" s="13" t="s">
        <v>105</v>
      </c>
    </row>
    <row r="33" spans="1:7" ht="15.75">
      <c r="A33" s="39" t="s">
        <v>27</v>
      </c>
      <c r="B33" s="44" t="s">
        <v>28</v>
      </c>
      <c r="C33" s="41" t="s">
        <v>52</v>
      </c>
      <c r="D33" s="44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>10</v>
      </c>
      <c r="F33">
        <v>10</v>
      </c>
      <c r="G33" s="13" t="s">
        <v>52</v>
      </c>
    </row>
    <row r="34" spans="1:7" ht="15.75">
      <c r="A34" s="51"/>
      <c r="B34" s="52"/>
      <c r="C34" s="53"/>
      <c r="D34" s="52"/>
      <c r="F34">
        <v>5</v>
      </c>
      <c r="G34" s="13" t="s">
        <v>106</v>
      </c>
    </row>
    <row r="35" spans="1:7" ht="18" customHeight="1" thickBot="1">
      <c r="A35" s="40"/>
      <c r="B35" s="45"/>
      <c r="C35" s="43"/>
      <c r="D35" s="45"/>
      <c r="F35">
        <v>0</v>
      </c>
      <c r="G35" s="13" t="s">
        <v>107</v>
      </c>
    </row>
    <row r="36" spans="1:7" ht="15.75">
      <c r="A36" s="39" t="s">
        <v>29</v>
      </c>
      <c r="B36" s="44" t="s">
        <v>30</v>
      </c>
      <c r="C36" s="41" t="s">
        <v>31</v>
      </c>
      <c r="D36" s="44">
        <f>IF(IFERROR(SEARCH("Материальные средства ", C36), 0) &gt; 0, 5, IF(IFERROR(SEARCH("Не выполнены ", C36), 0) &gt; 0, 0, ))</f>
        <v>5</v>
      </c>
      <c r="F36">
        <v>5</v>
      </c>
      <c r="G36" s="13" t="s">
        <v>31</v>
      </c>
    </row>
    <row r="37" spans="1:7" ht="45" customHeight="1" thickBot="1">
      <c r="A37" s="40"/>
      <c r="B37" s="45"/>
      <c r="C37" s="43"/>
      <c r="D37" s="45"/>
      <c r="F37">
        <v>0</v>
      </c>
      <c r="G37" s="13" t="s">
        <v>110</v>
      </c>
    </row>
    <row r="38" spans="1:7" ht="15.75">
      <c r="A38" s="39" t="s">
        <v>32</v>
      </c>
      <c r="B38" s="44" t="s">
        <v>33</v>
      </c>
      <c r="C38" s="41" t="s">
        <v>108</v>
      </c>
      <c r="D38" s="44">
        <f>IF(IFERROR(SEARCH("5", C38), 0) &gt; 0, 2, IF(IFERROR(SEARCH("4", C38), 0) &gt; 0, 1, ))</f>
        <v>2</v>
      </c>
      <c r="F38">
        <v>2</v>
      </c>
      <c r="G38" s="13" t="s">
        <v>108</v>
      </c>
    </row>
    <row r="39" spans="1:7" ht="103.5" customHeight="1" thickBot="1">
      <c r="A39" s="40"/>
      <c r="B39" s="45"/>
      <c r="C39" s="43"/>
      <c r="D39" s="45"/>
      <c r="F39">
        <v>1</v>
      </c>
      <c r="G39" s="13" t="s">
        <v>109</v>
      </c>
    </row>
    <row r="40" spans="1:7">
      <c r="A40" s="46" t="s">
        <v>34</v>
      </c>
      <c r="B40" s="47"/>
      <c r="C40" s="66"/>
      <c r="D40" s="68">
        <f>SUM(D7:D39)</f>
        <v>68</v>
      </c>
      <c r="E40" s="65"/>
    </row>
    <row r="41" spans="1:7" ht="15.75" thickBot="1">
      <c r="A41" s="48"/>
      <c r="B41" s="49"/>
      <c r="C41" s="67"/>
      <c r="D41" s="69"/>
      <c r="E41" s="65"/>
    </row>
    <row r="43" spans="1:7" ht="20.25">
      <c r="A43" s="37" t="s">
        <v>35</v>
      </c>
      <c r="B43" s="37"/>
      <c r="C43" s="37"/>
      <c r="D43" s="5"/>
      <c r="E43" s="5"/>
    </row>
    <row r="44" spans="1:7" ht="20.25">
      <c r="A44" s="37"/>
      <c r="B44" s="37"/>
      <c r="C44" s="37"/>
      <c r="D44" s="6"/>
      <c r="E44" s="6"/>
    </row>
    <row r="45" spans="1:7" ht="20.25">
      <c r="A45" s="5"/>
      <c r="B45" s="5"/>
      <c r="C45" s="5" t="s">
        <v>36</v>
      </c>
      <c r="D45" s="5"/>
      <c r="E45" s="5"/>
    </row>
    <row r="46" spans="1:7" ht="20.25">
      <c r="A46" s="5"/>
      <c r="B46" s="5"/>
      <c r="C46" s="5" t="s">
        <v>307</v>
      </c>
    </row>
  </sheetData>
  <mergeCells count="63">
    <mergeCell ref="A1:E1"/>
    <mergeCell ref="A2:E2"/>
    <mergeCell ref="A3:E3"/>
    <mergeCell ref="A4:E4"/>
    <mergeCell ref="B5:B6"/>
    <mergeCell ref="C5:C6"/>
    <mergeCell ref="D5:D6"/>
    <mergeCell ref="A7:A9"/>
    <mergeCell ref="B7:B9"/>
    <mergeCell ref="C7:C9"/>
    <mergeCell ref="D7:D9"/>
    <mergeCell ref="A10:A11"/>
    <mergeCell ref="B10:B11"/>
    <mergeCell ref="C10:C11"/>
    <mergeCell ref="D10:D11"/>
    <mergeCell ref="A12:A14"/>
    <mergeCell ref="B12:B14"/>
    <mergeCell ref="C12:C14"/>
    <mergeCell ref="D12:D14"/>
    <mergeCell ref="A15:A17"/>
    <mergeCell ref="B15:B17"/>
    <mergeCell ref="C15:C17"/>
    <mergeCell ref="D15:D17"/>
    <mergeCell ref="A18:A20"/>
    <mergeCell ref="B18:B20"/>
    <mergeCell ref="C18:C20"/>
    <mergeCell ref="D18:D20"/>
    <mergeCell ref="A21:A22"/>
    <mergeCell ref="B21:B22"/>
    <mergeCell ref="C21:C22"/>
    <mergeCell ref="D21:D22"/>
    <mergeCell ref="A23:A25"/>
    <mergeCell ref="B23:B25"/>
    <mergeCell ref="C23:C25"/>
    <mergeCell ref="D23:D25"/>
    <mergeCell ref="A26:A27"/>
    <mergeCell ref="B26:B27"/>
    <mergeCell ref="C26:C27"/>
    <mergeCell ref="D26:D27"/>
    <mergeCell ref="A28:A30"/>
    <mergeCell ref="B28:B30"/>
    <mergeCell ref="C28:C30"/>
    <mergeCell ref="D28:D30"/>
    <mergeCell ref="A31:A32"/>
    <mergeCell ref="B31:B32"/>
    <mergeCell ref="C31:C32"/>
    <mergeCell ref="D31:D32"/>
    <mergeCell ref="A33:A35"/>
    <mergeCell ref="B33:B35"/>
    <mergeCell ref="C33:C35"/>
    <mergeCell ref="D33:D35"/>
    <mergeCell ref="A36:A37"/>
    <mergeCell ref="B36:B37"/>
    <mergeCell ref="C36:C37"/>
    <mergeCell ref="D36:D37"/>
    <mergeCell ref="E40:E41"/>
    <mergeCell ref="A43:C44"/>
    <mergeCell ref="A38:A39"/>
    <mergeCell ref="B38:B39"/>
    <mergeCell ref="C38:C39"/>
    <mergeCell ref="D38:D39"/>
    <mergeCell ref="A40:C41"/>
    <mergeCell ref="D40:D41"/>
  </mergeCells>
  <dataValidations count="13">
    <dataValidation type="list" allowBlank="1" showInputMessage="1" showErrorMessage="1" sqref="C38:C39">
      <formula1>$G$38:$G$39</formula1>
    </dataValidation>
    <dataValidation type="list" allowBlank="1" showInputMessage="1" showErrorMessage="1" sqref="C36:C37">
      <formula1>$G$36:$G$37</formula1>
    </dataValidation>
    <dataValidation type="list" allowBlank="1" showInputMessage="1" showErrorMessage="1" sqref="C33:C35">
      <formula1>$G$33:$G$35</formula1>
    </dataValidation>
    <dataValidation type="list" allowBlank="1" showInputMessage="1" showErrorMessage="1" sqref="C31:C32">
      <formula1>$G$31:$G$32</formula1>
    </dataValidation>
    <dataValidation type="list" allowBlank="1" showInputMessage="1" showErrorMessage="1" sqref="C28:C30">
      <formula1>$G$28:$G$30</formula1>
    </dataValidation>
    <dataValidation type="list" allowBlank="1" showInputMessage="1" showErrorMessage="1" sqref="C26:C27">
      <formula1>$G$26:$G$27</formula1>
    </dataValidation>
    <dataValidation type="list" allowBlank="1" showInputMessage="1" showErrorMessage="1" sqref="C23:C25">
      <formula1>$G$23:$G$25</formula1>
    </dataValidation>
    <dataValidation type="list" allowBlank="1" showInputMessage="1" showErrorMessage="1" sqref="C21:C22">
      <formula1>$G$21:$G$22</formula1>
    </dataValidation>
    <dataValidation type="list" allowBlank="1" showInputMessage="1" showErrorMessage="1" sqref="C18:C20">
      <formula1>$G$18:$G$20</formula1>
    </dataValidation>
    <dataValidation type="list" allowBlank="1" showInputMessage="1" showErrorMessage="1" sqref="C15:C17">
      <formula1>$G$15:$G$17</formula1>
    </dataValidation>
    <dataValidation type="list" allowBlank="1" showInputMessage="1" showErrorMessage="1" sqref="C12:C14">
      <formula1>$G$12:$G$14</formula1>
    </dataValidation>
    <dataValidation type="list" allowBlank="1" showInputMessage="1" showErrorMessage="1" sqref="C10:C11">
      <formula1>$G$10:$G$11</formula1>
    </dataValidation>
    <dataValidation type="list" allowBlank="1" showInputMessage="1" showErrorMessage="1" sqref="C7:C9">
      <formula1>$G$7:$G$9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theme="1"/>
  </sheetPr>
  <dimension ref="A1:L56"/>
  <sheetViews>
    <sheetView zoomScale="70" zoomScaleNormal="70" workbookViewId="0">
      <selection activeCell="G1" sqref="G1:L1048576"/>
    </sheetView>
  </sheetViews>
  <sheetFormatPr defaultRowHeight="15"/>
  <cols>
    <col min="2" max="2" width="26" customWidth="1"/>
    <col min="3" max="3" width="58.5703125" customWidth="1"/>
    <col min="4" max="4" width="28.5703125" customWidth="1"/>
    <col min="5" max="5" width="0.140625" customWidth="1"/>
    <col min="6" max="6" width="0.42578125" customWidth="1"/>
    <col min="7" max="11" width="9.140625" hidden="1" customWidth="1"/>
    <col min="12" max="12" width="12" hidden="1" customWidth="1"/>
    <col min="13" max="13" width="9.140625" customWidth="1"/>
  </cols>
  <sheetData>
    <row r="1" spans="1:12" ht="20.25">
      <c r="A1" s="56" t="s">
        <v>0</v>
      </c>
      <c r="B1" s="56"/>
      <c r="C1" s="56"/>
      <c r="D1" s="56"/>
      <c r="E1" s="56"/>
    </row>
    <row r="2" spans="1:12" ht="18.75">
      <c r="A2" s="57" t="s">
        <v>1</v>
      </c>
      <c r="B2" s="57"/>
      <c r="C2" s="57"/>
      <c r="D2" s="57"/>
      <c r="E2" s="57"/>
    </row>
    <row r="3" spans="1:12" ht="18.75" customHeight="1">
      <c r="A3" s="58" t="s">
        <v>311</v>
      </c>
      <c r="B3" s="57"/>
      <c r="C3" s="57"/>
      <c r="D3" s="57"/>
      <c r="E3" s="57"/>
    </row>
    <row r="4" spans="1:12" ht="16.5" thickBot="1">
      <c r="A4" s="59"/>
      <c r="B4" s="59"/>
      <c r="C4" s="59"/>
      <c r="D4" s="59"/>
      <c r="E4" s="59"/>
    </row>
    <row r="5" spans="1:12" ht="15.75" customHeight="1">
      <c r="A5" s="2" t="s">
        <v>3</v>
      </c>
      <c r="B5" s="60" t="s">
        <v>54</v>
      </c>
      <c r="C5" s="60" t="s">
        <v>55</v>
      </c>
      <c r="D5" s="60" t="s">
        <v>42</v>
      </c>
    </row>
    <row r="6" spans="1:12" ht="16.5" thickBot="1">
      <c r="A6" s="4" t="s">
        <v>4</v>
      </c>
      <c r="B6" s="61"/>
      <c r="C6" s="61"/>
      <c r="D6" s="61"/>
    </row>
    <row r="7" spans="1:12" ht="15" customHeight="1">
      <c r="A7" s="39" t="s">
        <v>5</v>
      </c>
      <c r="B7" s="44" t="s">
        <v>6</v>
      </c>
      <c r="C7" s="44" t="s">
        <v>345</v>
      </c>
      <c r="D7" s="44">
        <f>IF(IFERROR(SEARCH("подразделения ≥ 4,5", C7), 0) &gt; 0, 5, IF(IFERROR(SEARCH("подразделения ≥ 4,0", C7), 0) &gt; 0, 3, IF(IFERROR(SEARCH("&lt;", C7), 0) &gt; 0, 0,)))</f>
        <v>0</v>
      </c>
      <c r="F7">
        <v>5</v>
      </c>
      <c r="G7" s="16" t="s">
        <v>344</v>
      </c>
    </row>
    <row r="8" spans="1:12" ht="15" customHeight="1">
      <c r="A8" s="51"/>
      <c r="B8" s="54"/>
      <c r="C8" s="52"/>
      <c r="D8" s="52"/>
      <c r="F8">
        <v>3</v>
      </c>
      <c r="G8" s="17" t="s">
        <v>343</v>
      </c>
    </row>
    <row r="9" spans="1:12" ht="18.75" customHeight="1" thickBot="1">
      <c r="A9" s="40"/>
      <c r="B9" s="55"/>
      <c r="C9" s="45"/>
      <c r="D9" s="45"/>
      <c r="F9">
        <v>0</v>
      </c>
      <c r="G9" s="18" t="s">
        <v>345</v>
      </c>
    </row>
    <row r="10" spans="1:12" ht="15" customHeight="1">
      <c r="A10" s="39" t="s">
        <v>7</v>
      </c>
      <c r="B10" s="44" t="s">
        <v>8</v>
      </c>
      <c r="C10" s="44" t="s">
        <v>259</v>
      </c>
      <c r="D10" s="44">
        <f>IF(C10="Академические задолжности отсутствуют",10,0)</f>
        <v>10</v>
      </c>
      <c r="F10">
        <v>10</v>
      </c>
    </row>
    <row r="11" spans="1:12" ht="15.75" customHeight="1" thickBot="1">
      <c r="A11" s="40"/>
      <c r="B11" s="45"/>
      <c r="C11" s="45"/>
      <c r="D11" s="45"/>
      <c r="F11">
        <v>0</v>
      </c>
    </row>
    <row r="12" spans="1:12" ht="15" customHeight="1">
      <c r="A12" s="39" t="s">
        <v>9</v>
      </c>
      <c r="B12" s="44" t="s">
        <v>10</v>
      </c>
      <c r="C12" s="44" t="s">
        <v>72</v>
      </c>
      <c r="D12" s="44">
        <f>IF(C12="В подразделении и у КУГ отсутствуют текущие задолжности",5,IF(C12="Имеются менее 20% текущих задолжностей в подразделении или у КУГ",3,IF(C12="Имеются более 20% текущих задолжностей в подразделении или у КУГ",0,)))</f>
        <v>3</v>
      </c>
      <c r="F12">
        <v>5</v>
      </c>
    </row>
    <row r="13" spans="1:12" ht="15" customHeight="1">
      <c r="A13" s="51"/>
      <c r="B13" s="52"/>
      <c r="C13" s="52"/>
      <c r="D13" s="52"/>
      <c r="F13">
        <v>3</v>
      </c>
    </row>
    <row r="14" spans="1:12" ht="15.75" customHeight="1" thickBot="1">
      <c r="A14" s="40"/>
      <c r="B14" s="45"/>
      <c r="C14" s="45"/>
      <c r="D14" s="45"/>
      <c r="F14">
        <v>0</v>
      </c>
    </row>
    <row r="15" spans="1:12" ht="15" customHeight="1">
      <c r="A15" s="39" t="s">
        <v>11</v>
      </c>
      <c r="B15" s="44" t="s">
        <v>39</v>
      </c>
      <c r="C15" s="64" t="s">
        <v>40</v>
      </c>
      <c r="D15" s="44">
        <f>IF(C15="Подразделение прибыло на занятие своевременно; дежурный по аудитории назначен; ЖУУЗ и классная доска оформлены; литература, конспекты, ПЭВМ (по необходимости) получены; внутренний порядок в аудитории поддерживается",5,IF(C15="Подразделение прибыло на занятие своевременно; дежурный по аудитории назначен; литература, конспекты, ПЭВМ (по необходимости) получены; ЖУУЗ или классная доска оформлены не своевременно; или имеются отклонения по  внутреннему порядку в аудитории",3,IF(C15="одразделение опоздало на занятие; или ЖУУЗ и классная доска не оформлены; литература, конспекты, ПЭВМ (по необходимости) не получены; или внутренний порядок в аудитории не поддерживается ",0,)))</f>
        <v>5</v>
      </c>
      <c r="F15">
        <v>5</v>
      </c>
      <c r="L15" s="13" t="s">
        <v>40</v>
      </c>
    </row>
    <row r="16" spans="1:12" ht="15" customHeight="1">
      <c r="A16" s="51"/>
      <c r="B16" s="52"/>
      <c r="C16" s="62"/>
      <c r="D16" s="52"/>
      <c r="F16">
        <v>3</v>
      </c>
      <c r="L16" s="13" t="s">
        <v>77</v>
      </c>
    </row>
    <row r="17" spans="1:12" ht="52.5" customHeight="1" thickBot="1">
      <c r="A17" s="40"/>
      <c r="B17" s="45"/>
      <c r="C17" s="63"/>
      <c r="D17" s="45"/>
      <c r="F17">
        <v>0</v>
      </c>
      <c r="L17" t="s">
        <v>78</v>
      </c>
    </row>
    <row r="18" spans="1:12" ht="15" customHeight="1" thickBot="1">
      <c r="A18" s="39" t="s">
        <v>13</v>
      </c>
      <c r="B18" s="44" t="s">
        <v>41</v>
      </c>
      <c r="C18" s="64" t="s">
        <v>80</v>
      </c>
      <c r="D18" s="44">
        <f>IF(IFERROR(SEARCH("30%", C18), 0) &gt; 0, 5, IF(IFERROR(SEARCH("10%", C18), 0) &gt; 0, 3, IF(IFERROR(SEARCH("не получены", C18), 0) &gt; 0, 0,)))</f>
        <v>3</v>
      </c>
      <c r="F18">
        <v>10</v>
      </c>
      <c r="L18" s="14" t="s">
        <v>79</v>
      </c>
    </row>
    <row r="19" spans="1:12" ht="15" customHeight="1">
      <c r="A19" s="51"/>
      <c r="B19" s="52"/>
      <c r="C19" s="62"/>
      <c r="D19" s="52"/>
      <c r="F19">
        <v>2</v>
      </c>
      <c r="L19" s="13" t="s">
        <v>80</v>
      </c>
    </row>
    <row r="20" spans="1:12" ht="105" customHeight="1" thickBot="1">
      <c r="A20" s="40"/>
      <c r="B20" s="45"/>
      <c r="C20" s="63"/>
      <c r="D20" s="45"/>
      <c r="F20">
        <v>0</v>
      </c>
      <c r="L20" s="13" t="s">
        <v>81</v>
      </c>
    </row>
    <row r="21" spans="1:12" ht="15" customHeight="1">
      <c r="A21" s="39" t="s">
        <v>15</v>
      </c>
      <c r="B21" s="44" t="s">
        <v>12</v>
      </c>
      <c r="C21" s="41" t="s">
        <v>261</v>
      </c>
      <c r="D21" s="44">
        <f>IF(C21="Замечания в подразделении и у КУГ отсутствуют",5,IF(C21="В подразделении 2 замечания у КУГ отсутствуют",3,IF(C21="В подразделении 3 и более замечаний или замечания у КУГ",0,)))</f>
        <v>3</v>
      </c>
      <c r="F21">
        <v>5</v>
      </c>
    </row>
    <row r="22" spans="1:12" ht="15.75" customHeight="1">
      <c r="A22" s="51"/>
      <c r="B22" s="52"/>
      <c r="C22" s="53"/>
      <c r="D22" s="52"/>
      <c r="F22">
        <v>0</v>
      </c>
    </row>
    <row r="23" spans="1:12" ht="82.5" customHeight="1" thickBot="1">
      <c r="A23" s="40"/>
      <c r="B23" s="45"/>
      <c r="C23" s="43"/>
      <c r="D23" s="45"/>
      <c r="F23">
        <v>10</v>
      </c>
    </row>
    <row r="24" spans="1:12" ht="15" customHeight="1">
      <c r="A24" s="39" t="s">
        <v>17</v>
      </c>
      <c r="B24" s="44" t="s">
        <v>14</v>
      </c>
      <c r="C24" s="41" t="s">
        <v>74</v>
      </c>
      <c r="D24" s="44">
        <f>IF(C24="ПРО, ПРЕ, ГДП в подразделении и КУГ отсутствуют",10,IF(C24="ПРО, ПРЕ отсутствуют, имеются не снятые взыскания за ГДП в подразделении, у КУГ отсутствуют",2,IF(C24="Совершено ПРО, ПРЕ, ГДП в подразделении или КУГ или допущено сокрытие",0,)))</f>
        <v>2</v>
      </c>
      <c r="F24">
        <v>5</v>
      </c>
    </row>
    <row r="25" spans="1:12" ht="15.75" customHeight="1">
      <c r="A25" s="51"/>
      <c r="B25" s="52"/>
      <c r="C25" s="53"/>
      <c r="D25" s="52"/>
      <c r="F25">
        <v>0</v>
      </c>
    </row>
    <row r="26" spans="1:12" ht="52.5" customHeight="1" thickBot="1">
      <c r="A26" s="40"/>
      <c r="B26" s="45"/>
      <c r="C26" s="43"/>
      <c r="D26" s="45"/>
      <c r="F26">
        <v>3</v>
      </c>
    </row>
    <row r="27" spans="1:12" ht="15.75" customHeight="1">
      <c r="A27" s="39" t="s">
        <v>20</v>
      </c>
      <c r="B27" s="44" t="s">
        <v>16</v>
      </c>
      <c r="C27" s="41" t="s">
        <v>57</v>
      </c>
      <c r="D27" s="44">
        <f>IF(C27="Дисциплинарная практика к подчиненному личному составу ведется",5,0)</f>
        <v>5</v>
      </c>
      <c r="F27">
        <v>0</v>
      </c>
    </row>
    <row r="28" spans="1:12" ht="15" customHeight="1" thickBot="1">
      <c r="A28" s="40"/>
      <c r="B28" s="45"/>
      <c r="C28" s="43"/>
      <c r="D28" s="45"/>
      <c r="F28">
        <v>5</v>
      </c>
    </row>
    <row r="29" spans="1:12" ht="15" customHeight="1">
      <c r="A29" s="39" t="s">
        <v>23</v>
      </c>
      <c r="B29" s="44" t="s">
        <v>18</v>
      </c>
      <c r="C29" s="41" t="s">
        <v>60</v>
      </c>
      <c r="D29" s="44">
        <f>IF(C29="Обстановкой владеет, доклады представляет, книжка сержантов актуальна",10,IF(C29="Обстановкой владеет, доклады представляет, книжка сержантов не актуальна",5,IF(C29="Обстановкой не владеет, доклады не представляет, книжка сержантов не актуальна",0,)))</f>
        <v>10</v>
      </c>
      <c r="F29">
        <v>3</v>
      </c>
    </row>
    <row r="30" spans="1:12" ht="15.75" customHeight="1">
      <c r="A30" s="51"/>
      <c r="B30" s="52"/>
      <c r="C30" s="53"/>
      <c r="D30" s="52"/>
      <c r="F30">
        <v>0</v>
      </c>
    </row>
    <row r="31" spans="1:12" ht="105" customHeight="1" thickBot="1">
      <c r="A31" s="40"/>
      <c r="B31" s="45"/>
      <c r="C31" s="43"/>
      <c r="D31" s="45"/>
      <c r="F31">
        <v>10</v>
      </c>
    </row>
    <row r="32" spans="1:12" ht="26.25" customHeight="1">
      <c r="A32" s="39" t="s">
        <v>25</v>
      </c>
      <c r="B32" s="44" t="s">
        <v>21</v>
      </c>
      <c r="C32" s="41" t="s">
        <v>75</v>
      </c>
      <c r="D32" s="44">
        <f>IF(C32="Подведение итогов актуально, поставлены конкретные задачи и проводится в установленное время",3,0)</f>
        <v>3</v>
      </c>
      <c r="F32">
        <v>0</v>
      </c>
    </row>
    <row r="33" spans="1:6" ht="30" customHeight="1" thickBot="1">
      <c r="A33" s="40"/>
      <c r="B33" s="45"/>
      <c r="C33" s="43"/>
      <c r="D33" s="45"/>
      <c r="F33">
        <v>10</v>
      </c>
    </row>
    <row r="34" spans="1:6" ht="15" customHeight="1">
      <c r="A34" s="51" t="s">
        <v>27</v>
      </c>
      <c r="B34" s="52" t="s">
        <v>43</v>
      </c>
      <c r="C34" s="41" t="s">
        <v>263</v>
      </c>
      <c r="D34" s="62">
        <f>IF(C34="Увольнения распределены равномерно",2,0)</f>
        <v>2</v>
      </c>
      <c r="F34">
        <v>5</v>
      </c>
    </row>
    <row r="35" spans="1:6" ht="15.75" customHeight="1" thickBot="1">
      <c r="A35" s="40"/>
      <c r="B35" s="45"/>
      <c r="C35" s="43"/>
      <c r="D35" s="63"/>
      <c r="F35">
        <v>0</v>
      </c>
    </row>
    <row r="36" spans="1:6" ht="15" customHeight="1">
      <c r="A36" s="39" t="s">
        <v>29</v>
      </c>
      <c r="B36" s="44" t="s">
        <v>44</v>
      </c>
      <c r="C36" s="44" t="s">
        <v>61</v>
      </c>
      <c r="D36" s="64">
        <f>IF(C36="Наряды и уборщики распределены равномерно",2,IF(C36="Наряды распределены равномерно, уборщики не равномерно",1,IF(C36="Наряды и уборщики распределены не равномерно",0,)))</f>
        <v>2</v>
      </c>
      <c r="F36">
        <v>5</v>
      </c>
    </row>
    <row r="37" spans="1:6" ht="15.75" customHeight="1">
      <c r="A37" s="51"/>
      <c r="B37" s="52"/>
      <c r="C37" s="52"/>
      <c r="D37" s="62"/>
      <c r="F37">
        <v>0</v>
      </c>
    </row>
    <row r="38" spans="1:6" ht="38.25" customHeight="1" thickBot="1">
      <c r="A38" s="40"/>
      <c r="B38" s="45"/>
      <c r="C38" s="45"/>
      <c r="D38" s="63"/>
      <c r="F38">
        <v>2</v>
      </c>
    </row>
    <row r="39" spans="1:6" ht="15.75" customHeight="1">
      <c r="A39" s="39" t="s">
        <v>32</v>
      </c>
      <c r="B39" s="44" t="s">
        <v>24</v>
      </c>
      <c r="C39" s="41" t="s">
        <v>336</v>
      </c>
      <c r="D39" s="44">
        <f>IF(C39="Замечания у подчиненного л/с отсутствуют, КУГ оценен не ниже «хорошо»",5,IF(C39="Выявлено не более 2 замечаний у подчиненного л/с, КУГ оценен не ниже «хорошо»",3,IF(C39="Л/с отстранен или выявлено более 2 замечаний, КУГ оценен ниже «хорошо»",0,)))</f>
        <v>3</v>
      </c>
      <c r="F39">
        <v>1</v>
      </c>
    </row>
    <row r="40" spans="1:6" ht="15" customHeight="1">
      <c r="A40" s="51"/>
      <c r="B40" s="52"/>
      <c r="C40" s="53"/>
      <c r="D40" s="52"/>
    </row>
    <row r="41" spans="1:6" ht="40.5" customHeight="1" thickBot="1">
      <c r="A41" s="40"/>
      <c r="B41" s="45"/>
      <c r="C41" s="43"/>
      <c r="D41" s="45"/>
    </row>
    <row r="42" spans="1:6">
      <c r="A42" s="39" t="s">
        <v>45</v>
      </c>
      <c r="B42" s="44" t="s">
        <v>26</v>
      </c>
      <c r="C42" s="41" t="s">
        <v>65</v>
      </c>
      <c r="D42" s="44">
        <f>IF(C42="Нарушений ТБ, приведших к травматизму л/с нет",10,0)</f>
        <v>10</v>
      </c>
    </row>
    <row r="43" spans="1:6" ht="44.25" customHeight="1" thickBot="1">
      <c r="A43" s="40"/>
      <c r="B43" s="45"/>
      <c r="C43" s="43"/>
      <c r="D43" s="45"/>
    </row>
    <row r="44" spans="1:6">
      <c r="A44" s="39" t="s">
        <v>46</v>
      </c>
      <c r="B44" s="44" t="s">
        <v>28</v>
      </c>
      <c r="C44" s="41" t="s">
        <v>52</v>
      </c>
      <c r="D44" s="44">
        <f>IF(C44="Элементы распорядка дня соблюдаются",10,IF(C44="Не более пяти нарушений распорядка дня, срывов мероприятий не допущено",5,IF(C44="Более пяти нарушений элементов распорядка дня или мероприятие сорвано",0,)))</f>
        <v>10</v>
      </c>
    </row>
    <row r="45" spans="1:6">
      <c r="A45" s="51"/>
      <c r="B45" s="52"/>
      <c r="C45" s="53"/>
      <c r="D45" s="52"/>
    </row>
    <row r="46" spans="1:6" ht="15.75" thickBot="1">
      <c r="A46" s="40"/>
      <c r="B46" s="45"/>
      <c r="C46" s="43"/>
      <c r="D46" s="45"/>
    </row>
    <row r="47" spans="1:6">
      <c r="A47" s="39" t="s">
        <v>47</v>
      </c>
      <c r="B47" s="44" t="s">
        <v>30</v>
      </c>
      <c r="C47" s="41" t="s">
        <v>31</v>
      </c>
      <c r="D47" s="44">
        <f>IF(C47="Материальные средства подразделения в наличии, исправны, обслужены, хранятся правильно",5,0)</f>
        <v>5</v>
      </c>
    </row>
    <row r="48" spans="1:6" ht="45" customHeight="1" thickBot="1">
      <c r="A48" s="40"/>
      <c r="B48" s="45"/>
      <c r="C48" s="43"/>
      <c r="D48" s="45"/>
    </row>
    <row r="49" spans="1:5">
      <c r="A49" s="39" t="s">
        <v>48</v>
      </c>
      <c r="B49" s="44" t="s">
        <v>33</v>
      </c>
      <c r="C49" s="41" t="s">
        <v>49</v>
      </c>
      <c r="D49" s="44">
        <f>IF(C49="Оценка по физической подготовке (культуре) - 5",2,1)</f>
        <v>2</v>
      </c>
    </row>
    <row r="50" spans="1:5" ht="97.5" customHeight="1" thickBot="1">
      <c r="A50" s="40"/>
      <c r="B50" s="45"/>
      <c r="C50" s="43"/>
      <c r="D50" s="45"/>
    </row>
    <row r="51" spans="1:5" ht="15.75">
      <c r="A51" s="46" t="s">
        <v>34</v>
      </c>
      <c r="B51" s="47"/>
      <c r="C51" s="47"/>
      <c r="D51" s="50">
        <f>SUM(D7:D50)</f>
        <v>78</v>
      </c>
      <c r="E51" s="8"/>
    </row>
    <row r="52" spans="1:5" ht="16.5" thickBot="1">
      <c r="A52" s="48"/>
      <c r="B52" s="49"/>
      <c r="C52" s="49"/>
      <c r="D52" s="42"/>
      <c r="E52" s="8"/>
    </row>
    <row r="54" spans="1:5" ht="20.25">
      <c r="A54" s="37" t="s">
        <v>35</v>
      </c>
      <c r="B54" s="37"/>
      <c r="C54" s="37"/>
      <c r="D54" s="37"/>
      <c r="E54" s="37"/>
    </row>
    <row r="55" spans="1:5" ht="20.25">
      <c r="A55" s="38" t="s">
        <v>36</v>
      </c>
      <c r="B55" s="38"/>
      <c r="C55" s="38"/>
      <c r="D55" s="38"/>
      <c r="E55" s="38"/>
    </row>
    <row r="56" spans="1:5" ht="21">
      <c r="A56" s="9"/>
      <c r="B56" s="9"/>
      <c r="C56" s="5" t="s">
        <v>308</v>
      </c>
      <c r="D56" s="5"/>
      <c r="E56" s="9"/>
    </row>
  </sheetData>
  <mergeCells count="79">
    <mergeCell ref="A1:E1"/>
    <mergeCell ref="A2:E2"/>
    <mergeCell ref="A3:E3"/>
    <mergeCell ref="A4:E4"/>
    <mergeCell ref="B5:B6"/>
    <mergeCell ref="C5:C6"/>
    <mergeCell ref="D5:D6"/>
    <mergeCell ref="A7:A9"/>
    <mergeCell ref="B7:B9"/>
    <mergeCell ref="C7:C9"/>
    <mergeCell ref="D7:D9"/>
    <mergeCell ref="A10:A11"/>
    <mergeCell ref="B10:B11"/>
    <mergeCell ref="C10:C11"/>
    <mergeCell ref="D10:D11"/>
    <mergeCell ref="A12:A14"/>
    <mergeCell ref="B12:B14"/>
    <mergeCell ref="C12:C14"/>
    <mergeCell ref="D12:D14"/>
    <mergeCell ref="A15:A17"/>
    <mergeCell ref="B15:B17"/>
    <mergeCell ref="C15:C17"/>
    <mergeCell ref="D15:D17"/>
    <mergeCell ref="A18:A20"/>
    <mergeCell ref="B18:B20"/>
    <mergeCell ref="C18:C20"/>
    <mergeCell ref="D18:D20"/>
    <mergeCell ref="A21:A23"/>
    <mergeCell ref="B21:B23"/>
    <mergeCell ref="C21:C23"/>
    <mergeCell ref="D21:D23"/>
    <mergeCell ref="A24:A26"/>
    <mergeCell ref="B24:B26"/>
    <mergeCell ref="C24:C26"/>
    <mergeCell ref="D24:D26"/>
    <mergeCell ref="A27:A28"/>
    <mergeCell ref="B27:B28"/>
    <mergeCell ref="C27:C28"/>
    <mergeCell ref="D27:D28"/>
    <mergeCell ref="A29:A31"/>
    <mergeCell ref="B29:B31"/>
    <mergeCell ref="C29:C31"/>
    <mergeCell ref="D29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8"/>
    <mergeCell ref="B36:B38"/>
    <mergeCell ref="C36:C38"/>
    <mergeCell ref="D36:D38"/>
    <mergeCell ref="A39:A41"/>
    <mergeCell ref="B39:B41"/>
    <mergeCell ref="C39:C41"/>
    <mergeCell ref="D39:D41"/>
    <mergeCell ref="A42:A43"/>
    <mergeCell ref="B42:B43"/>
    <mergeCell ref="C42:C43"/>
    <mergeCell ref="D42:D43"/>
    <mergeCell ref="A44:A46"/>
    <mergeCell ref="B44:B46"/>
    <mergeCell ref="C44:C46"/>
    <mergeCell ref="D44:D46"/>
    <mergeCell ref="A47:A48"/>
    <mergeCell ref="B47:B48"/>
    <mergeCell ref="C47:C48"/>
    <mergeCell ref="D47:D48"/>
    <mergeCell ref="A54:E54"/>
    <mergeCell ref="A55:E55"/>
    <mergeCell ref="A49:A50"/>
    <mergeCell ref="B49:B50"/>
    <mergeCell ref="C49:C50"/>
    <mergeCell ref="D49:D50"/>
    <mergeCell ref="A51:C52"/>
    <mergeCell ref="D51:D52"/>
  </mergeCells>
  <dataValidations count="17">
    <dataValidation type="list" allowBlank="1" showInputMessage="1" showErrorMessage="1" sqref="C18:C20">
      <formula1>$L$18:$L$20</formula1>
    </dataValidation>
    <dataValidation type="list" allowBlank="1" showInputMessage="1" showErrorMessage="1" sqref="C49:C50">
      <formula1>"Оценка по физической подготовке (культуре) - 5,Оценка по физической подготовке (культуре) - 4"</formula1>
    </dataValidation>
    <dataValidation type="list" allowBlank="1" showInputMessage="1" showErrorMessage="1" sqref="C47:C48">
      <formula1>"Материальные средства подразделения в наличии, исправны, обслужены, хранятся правильно,Не выполнены предъявляемые критерии "</formula1>
    </dataValidation>
    <dataValidation type="list" allowBlank="1" showInputMessage="1" showErrorMessage="1" sqref="C44:C46">
      <formula1>"Элементы распорядка дня соблюдаются,Не более пяти нарушений распорядка дня, срывов мероприятий не допущено,Более пяти нарушений элементов распорядка дня или мероприятие сорвано"</formula1>
    </dataValidation>
    <dataValidation type="list" allowBlank="1" showInputMessage="1" showErrorMessage="1" sqref="C42:C43">
      <formula1>"Нарушений ТБ, приведших к травматизму л/с нет,Есть нарушения ТБ, приведших к травматизму л/с"</formula1>
    </dataValidation>
    <dataValidation type="list" allowBlank="1" showInputMessage="1" showErrorMessage="1" sqref="C39:C41">
      <formula1>"Замечания у подчиненного л/с отсутствуют, КУГ оценен не ниже «хорошо»,Выявлено не более 2 замечаний у подчиненного л/с, КУГ оценен не ниже «хорошо»,Л/с отстранен или выявлено более 2 замечаний, КУГ оценен ниже «хорошо»,"</formula1>
    </dataValidation>
    <dataValidation type="list" allowBlank="1" showInputMessage="1" showErrorMessage="1" sqref="C36:C38">
      <formula1>"Наряды и уборщики распределены равномерно,Наряды распределены равномерно, уборщики не равномерно,Наряды и уборщики распределены не равномерно"</formula1>
    </dataValidation>
    <dataValidation type="list" allowBlank="1" showInputMessage="1" showErrorMessage="1" sqref="C34:C35">
      <formula1>"Увольнения распределены равномерно,Увольнения распределяются не равномерно"</formula1>
    </dataValidation>
    <dataValidation type="list" allowBlank="1" showInputMessage="1" showErrorMessage="1" sqref="C32:C33">
      <formula1>"Подведение итогов актуально, поставлены конкретные задачи и проводится в установленное время,Подведение итогов не актуально, не поставлены задачи или не проводится"</formula1>
    </dataValidation>
    <dataValidation type="list" allowBlank="1" showInputMessage="1" showErrorMessage="1" sqref="C29:C31">
      <formula1>"Обстановкой владеет, доклады представляет, книжка сержантов актуальна,Обстановкой владеет, доклады представляет, книжка сержантов не актуальна,Обстановкой не владеет, доклады не представляет, книжка сержантов не актуальна"</formula1>
    </dataValidation>
    <dataValidation type="list" allowBlank="1" showInputMessage="1" showErrorMessage="1" sqref="C27:C28">
      <formula1>"Дисциплинарная практика к подчиненному личному составу ведется,Дисциплинарная практика к подчиненному личному составу не реализуется или КУГ имеет дисциплинарные взыскания"</formula1>
    </dataValidation>
    <dataValidation type="list" allowBlank="1" showInputMessage="1" showErrorMessage="1" sqref="C24:C26">
      <formula1>"ПРО, ПРЕ, ГДП в подразделении и КУГ отсутствуют, ПРО, ПРЕ отсутствуют, имеются не снятые взыскания за ГДП в подразделении, у КУГ отсутствуют, Совершено ПРО, ПРЕ, ГДП в подразделении или КУГ или допущено сокрытие"</formula1>
    </dataValidation>
    <dataValidation type="list" allowBlank="1" showInputMessage="1" showErrorMessage="1" sqref="C21:C23">
      <formula1>"Замечания в подразделении и у КУГ отсутствуют,В подразделении 2 замечания у КУГ отсутствуют,В подразделении 3 и более замечаний или замечания у КУГ"</formula1>
    </dataValidation>
    <dataValidation type="list" allowBlank="1" showInputMessage="1" showErrorMessage="1" sqref="C15:C17">
      <formula1>$L$15:$L$17</formula1>
    </dataValidation>
    <dataValidation type="list" allowBlank="1" showInputMessage="1" showErrorMessage="1" sqref="C12:C14">
      <formula1>"В подразделении и у КУГ отсутствуют текущие задолжности,Имеются менее 20% текущих задолжностей в подразделении или у КУГ,Имеются более 20% текущих задолжностей в подразделении или у КУГ"</formula1>
    </dataValidation>
    <dataValidation type="list" allowBlank="1" showInputMessage="1" showErrorMessage="1" sqref="C10:C11">
      <formula1>"Академические задолжности отсутствуют, Имеются академические задолжности в учебной группе или у КУГ"</formula1>
    </dataValidation>
    <dataValidation type="list" allowBlank="1" showInputMessage="1" showErrorMessage="1" sqref="C7:C9">
      <formula1>$G$7:$G$9</formula1>
    </dataValidation>
  </dataValidations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theme="1"/>
  </sheetPr>
  <dimension ref="A1:U46"/>
  <sheetViews>
    <sheetView topLeftCell="A19" zoomScale="85" zoomScaleNormal="85" workbookViewId="0">
      <selection activeCell="C23" sqref="C23:C25"/>
    </sheetView>
  </sheetViews>
  <sheetFormatPr defaultRowHeight="15"/>
  <cols>
    <col min="2" max="2" width="26" customWidth="1"/>
    <col min="3" max="3" width="58.5703125" customWidth="1"/>
    <col min="4" max="4" width="28.42578125" customWidth="1"/>
    <col min="5" max="5" width="24.140625" hidden="1" customWidth="1"/>
    <col min="6" max="6" width="24" hidden="1" customWidth="1"/>
    <col min="7" max="7" width="1.85546875" hidden="1" customWidth="1"/>
    <col min="8" max="8" width="18.42578125" customWidth="1"/>
  </cols>
  <sheetData>
    <row r="1" spans="1:21" ht="20.25">
      <c r="A1" s="56" t="s">
        <v>0</v>
      </c>
      <c r="B1" s="56"/>
      <c r="C1" s="56"/>
      <c r="D1" s="56"/>
      <c r="E1" s="56"/>
    </row>
    <row r="2" spans="1:21" ht="18.75">
      <c r="A2" s="57" t="s">
        <v>1</v>
      </c>
      <c r="B2" s="57"/>
      <c r="C2" s="57"/>
      <c r="D2" s="57"/>
      <c r="E2" s="57"/>
    </row>
    <row r="3" spans="1:21" ht="18.75" customHeight="1">
      <c r="A3" s="70" t="s">
        <v>310</v>
      </c>
      <c r="B3" s="71"/>
      <c r="C3" s="71"/>
      <c r="D3" s="71"/>
      <c r="E3" s="71"/>
    </row>
    <row r="4" spans="1:21" ht="16.5" thickBot="1">
      <c r="A4" s="59"/>
      <c r="B4" s="59"/>
      <c r="C4" s="59"/>
      <c r="D4" s="59"/>
      <c r="E4" s="59"/>
    </row>
    <row r="5" spans="1:21" ht="15.75">
      <c r="A5" s="2" t="s">
        <v>3</v>
      </c>
      <c r="B5" s="60" t="s">
        <v>54</v>
      </c>
      <c r="C5" s="60" t="s">
        <v>55</v>
      </c>
      <c r="D5" s="60" t="s">
        <v>42</v>
      </c>
    </row>
    <row r="6" spans="1:21" ht="16.5" thickBot="1">
      <c r="A6" s="4" t="s">
        <v>4</v>
      </c>
      <c r="B6" s="61"/>
      <c r="C6" s="61"/>
      <c r="D6" s="61"/>
    </row>
    <row r="7" spans="1:21" ht="13.5" customHeight="1">
      <c r="A7" s="39" t="s">
        <v>5</v>
      </c>
      <c r="B7" s="44" t="s">
        <v>6</v>
      </c>
      <c r="C7" s="44" t="s">
        <v>83</v>
      </c>
      <c r="D7" s="44">
        <f>IF(IFERROR(SEARCH("подразделения ≥ 4,5", C7), 0) &gt; 0, 5, IF(IFERROR(SEARCH("подразделения ≥ 4,0", C7), 0) &gt; 0, 3, IF(IFERROR(SEARCH("&lt;", C7), 0) &gt; 0, 0,)))</f>
        <v>3</v>
      </c>
      <c r="F7">
        <v>5</v>
      </c>
      <c r="G7" s="16" t="s">
        <v>82</v>
      </c>
      <c r="N7" s="15"/>
      <c r="U7" s="15"/>
    </row>
    <row r="8" spans="1:21" ht="20.25" customHeight="1">
      <c r="A8" s="51"/>
      <c r="B8" s="54"/>
      <c r="C8" s="52"/>
      <c r="D8" s="52"/>
      <c r="F8">
        <v>3</v>
      </c>
      <c r="G8" s="17" t="s">
        <v>83</v>
      </c>
      <c r="N8" s="13"/>
      <c r="U8" s="13"/>
    </row>
    <row r="9" spans="1:21" ht="18" customHeight="1" thickBot="1">
      <c r="A9" s="40"/>
      <c r="B9" s="55"/>
      <c r="C9" s="45"/>
      <c r="D9" s="45"/>
      <c r="F9">
        <v>0</v>
      </c>
      <c r="G9" s="18" t="s">
        <v>84</v>
      </c>
    </row>
    <row r="10" spans="1:21">
      <c r="A10" s="39" t="s">
        <v>7</v>
      </c>
      <c r="B10" s="44" t="s">
        <v>8</v>
      </c>
      <c r="C10" s="44" t="s">
        <v>85</v>
      </c>
      <c r="D10" s="44">
        <f>IF(IFERROR(SEARCH("отсутствуют", C10), 0) &gt; 0, 10, IF(IFERROR(SEARCH("имеются", C10), 0) &gt; 0, 0, ))</f>
        <v>10</v>
      </c>
      <c r="F10">
        <v>10</v>
      </c>
      <c r="G10" t="s">
        <v>85</v>
      </c>
    </row>
    <row r="11" spans="1:21" ht="24.75" customHeight="1" thickBot="1">
      <c r="A11" s="40"/>
      <c r="B11" s="45"/>
      <c r="C11" s="45"/>
      <c r="D11" s="45"/>
      <c r="F11">
        <v>0</v>
      </c>
      <c r="G11" s="13" t="s">
        <v>86</v>
      </c>
    </row>
    <row r="12" spans="1:21" ht="18" customHeight="1" thickBot="1">
      <c r="A12" s="39" t="s">
        <v>9</v>
      </c>
      <c r="B12" s="44" t="s">
        <v>10</v>
      </c>
      <c r="C12" s="44" t="s">
        <v>88</v>
      </c>
      <c r="D12" s="44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>3</v>
      </c>
      <c r="F12">
        <v>5</v>
      </c>
      <c r="G12" s="14" t="s">
        <v>87</v>
      </c>
    </row>
    <row r="13" spans="1:21" ht="15.75">
      <c r="A13" s="51"/>
      <c r="B13" s="52"/>
      <c r="C13" s="52"/>
      <c r="D13" s="52"/>
      <c r="F13">
        <v>3</v>
      </c>
      <c r="G13" s="13" t="s">
        <v>88</v>
      </c>
    </row>
    <row r="14" spans="1:21" ht="16.5" thickBot="1">
      <c r="A14" s="40"/>
      <c r="B14" s="45"/>
      <c r="C14" s="45"/>
      <c r="D14" s="45"/>
      <c r="F14">
        <v>0</v>
      </c>
      <c r="G14" s="13" t="s">
        <v>89</v>
      </c>
    </row>
    <row r="15" spans="1:21" ht="15.75">
      <c r="A15" s="39" t="s">
        <v>11</v>
      </c>
      <c r="B15" s="44" t="s">
        <v>12</v>
      </c>
      <c r="C15" s="41" t="s">
        <v>92</v>
      </c>
      <c r="D15" s="44">
        <f>IF(IFERROR(SEARCH("Отсутствуют", C15), 0) &gt; 0, 5, IF(IFERROR(SEARCH("Наличие одного", C15), 0) &gt; 0, 3, IF(IFERROR(SEARCH("Наличие двух", C15), 0) &gt; 0, 0,)))</f>
        <v>0</v>
      </c>
      <c r="F15">
        <v>5</v>
      </c>
      <c r="G15" s="19" t="s">
        <v>90</v>
      </c>
    </row>
    <row r="16" spans="1:21" ht="15.75">
      <c r="A16" s="51"/>
      <c r="B16" s="52"/>
      <c r="C16" s="53"/>
      <c r="D16" s="52"/>
      <c r="F16">
        <v>3</v>
      </c>
      <c r="G16" s="13" t="s">
        <v>91</v>
      </c>
    </row>
    <row r="17" spans="1:7" ht="92.25" customHeight="1" thickBot="1">
      <c r="A17" s="40"/>
      <c r="B17" s="45"/>
      <c r="C17" s="43"/>
      <c r="D17" s="45"/>
      <c r="F17">
        <v>0</v>
      </c>
      <c r="G17" s="13" t="s">
        <v>92</v>
      </c>
    </row>
    <row r="18" spans="1:7" ht="15" customHeight="1" thickBot="1">
      <c r="A18" s="39" t="s">
        <v>13</v>
      </c>
      <c r="B18" s="44" t="s">
        <v>14</v>
      </c>
      <c r="C18" s="41" t="s">
        <v>93</v>
      </c>
      <c r="D18" s="44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>10</v>
      </c>
      <c r="F18">
        <v>10</v>
      </c>
      <c r="G18" s="13" t="s">
        <v>93</v>
      </c>
    </row>
    <row r="19" spans="1:7" ht="15" customHeight="1" thickBot="1">
      <c r="A19" s="51"/>
      <c r="B19" s="52"/>
      <c r="C19" s="53"/>
      <c r="D19" s="52"/>
      <c r="F19">
        <v>2</v>
      </c>
      <c r="G19" s="14" t="s">
        <v>94</v>
      </c>
    </row>
    <row r="20" spans="1:7" ht="57" customHeight="1" thickBot="1">
      <c r="A20" s="40"/>
      <c r="B20" s="45"/>
      <c r="C20" s="43"/>
      <c r="D20" s="45"/>
      <c r="F20">
        <v>0</v>
      </c>
      <c r="G20" s="13" t="s">
        <v>95</v>
      </c>
    </row>
    <row r="21" spans="1:7" ht="15.75">
      <c r="A21" s="39" t="s">
        <v>15</v>
      </c>
      <c r="B21" s="44" t="s">
        <v>16</v>
      </c>
      <c r="C21" s="41" t="s">
        <v>96</v>
      </c>
      <c r="D21" s="44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>5</v>
      </c>
      <c r="F21">
        <v>5</v>
      </c>
      <c r="G21" s="13" t="s">
        <v>96</v>
      </c>
    </row>
    <row r="22" spans="1:7" ht="42.75" customHeight="1" thickBot="1">
      <c r="A22" s="40"/>
      <c r="B22" s="45"/>
      <c r="C22" s="43"/>
      <c r="D22" s="45"/>
      <c r="F22">
        <v>0</v>
      </c>
      <c r="G22" s="13" t="s">
        <v>97</v>
      </c>
    </row>
    <row r="23" spans="1:7" ht="15.75">
      <c r="A23" s="39" t="s">
        <v>17</v>
      </c>
      <c r="B23" s="44" t="s">
        <v>18</v>
      </c>
      <c r="C23" s="41" t="s">
        <v>19</v>
      </c>
      <c r="D23" s="44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>10</v>
      </c>
      <c r="F23">
        <v>10</v>
      </c>
      <c r="G23" s="13" t="s">
        <v>19</v>
      </c>
    </row>
    <row r="24" spans="1:7" ht="15.75">
      <c r="A24" s="51"/>
      <c r="B24" s="52"/>
      <c r="C24" s="53"/>
      <c r="D24" s="52"/>
      <c r="F24">
        <v>5</v>
      </c>
      <c r="G24" s="13" t="s">
        <v>98</v>
      </c>
    </row>
    <row r="25" spans="1:7" ht="82.5" customHeight="1" thickBot="1">
      <c r="A25" s="40"/>
      <c r="B25" s="45"/>
      <c r="C25" s="43"/>
      <c r="D25" s="45"/>
      <c r="F25">
        <v>0</v>
      </c>
      <c r="G25" s="13" t="s">
        <v>99</v>
      </c>
    </row>
    <row r="26" spans="1:7" ht="15.75">
      <c r="A26" s="39" t="s">
        <v>20</v>
      </c>
      <c r="B26" s="44" t="s">
        <v>21</v>
      </c>
      <c r="C26" s="41" t="s">
        <v>22</v>
      </c>
      <c r="D26" s="44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>3</v>
      </c>
      <c r="F26">
        <v>3</v>
      </c>
      <c r="G26" s="13" t="s">
        <v>22</v>
      </c>
    </row>
    <row r="27" spans="1:7" ht="41.25" customHeight="1" thickBot="1">
      <c r="A27" s="40"/>
      <c r="B27" s="45"/>
      <c r="C27" s="43"/>
      <c r="D27" s="45"/>
      <c r="F27">
        <v>0</v>
      </c>
      <c r="G27" s="13" t="s">
        <v>100</v>
      </c>
    </row>
    <row r="28" spans="1:7" ht="15.75">
      <c r="A28" s="39" t="s">
        <v>23</v>
      </c>
      <c r="B28" s="44" t="s">
        <v>24</v>
      </c>
      <c r="C28" s="41" t="s">
        <v>101</v>
      </c>
      <c r="D28" s="44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>5</v>
      </c>
      <c r="F28">
        <v>5</v>
      </c>
      <c r="G28" s="13" t="s">
        <v>101</v>
      </c>
    </row>
    <row r="29" spans="1:7" ht="15.75">
      <c r="A29" s="51"/>
      <c r="B29" s="52"/>
      <c r="C29" s="53"/>
      <c r="D29" s="52"/>
      <c r="F29">
        <v>3</v>
      </c>
      <c r="G29" s="13" t="s">
        <v>102</v>
      </c>
    </row>
    <row r="30" spans="1:7" ht="61.5" customHeight="1" thickBot="1">
      <c r="A30" s="40"/>
      <c r="B30" s="45"/>
      <c r="C30" s="43"/>
      <c r="D30" s="45"/>
      <c r="F30">
        <v>0</v>
      </c>
      <c r="G30" s="13" t="s">
        <v>103</v>
      </c>
    </row>
    <row r="31" spans="1:7" ht="15.75">
      <c r="A31" s="39" t="s">
        <v>25</v>
      </c>
      <c r="B31" s="44" t="s">
        <v>26</v>
      </c>
      <c r="C31" s="41" t="s">
        <v>104</v>
      </c>
      <c r="D31" s="44">
        <f>IF(IFERROR(SEARCH("Отсутствуют нарушения ТБ", C31), 0) &gt; 0, 10, IF(IFERROR(SEARCH("Имелись нарушения ТБ", C31), 0) &gt; 0, 0, ))</f>
        <v>10</v>
      </c>
      <c r="F31">
        <v>10</v>
      </c>
      <c r="G31" s="13" t="s">
        <v>104</v>
      </c>
    </row>
    <row r="32" spans="1:7" ht="33.75" customHeight="1" thickBot="1">
      <c r="A32" s="40"/>
      <c r="B32" s="45"/>
      <c r="C32" s="43"/>
      <c r="D32" s="45"/>
      <c r="F32">
        <v>0</v>
      </c>
      <c r="G32" s="13" t="s">
        <v>105</v>
      </c>
    </row>
    <row r="33" spans="1:7" ht="15.75">
      <c r="A33" s="39" t="s">
        <v>27</v>
      </c>
      <c r="B33" s="44" t="s">
        <v>28</v>
      </c>
      <c r="C33" s="41" t="s">
        <v>52</v>
      </c>
      <c r="D33" s="44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>10</v>
      </c>
      <c r="F33">
        <v>10</v>
      </c>
      <c r="G33" s="13" t="s">
        <v>52</v>
      </c>
    </row>
    <row r="34" spans="1:7" ht="15.75">
      <c r="A34" s="51"/>
      <c r="B34" s="52"/>
      <c r="C34" s="53"/>
      <c r="D34" s="52"/>
      <c r="F34">
        <v>5</v>
      </c>
      <c r="G34" s="13" t="s">
        <v>106</v>
      </c>
    </row>
    <row r="35" spans="1:7" ht="18" customHeight="1" thickBot="1">
      <c r="A35" s="40"/>
      <c r="B35" s="45"/>
      <c r="C35" s="43"/>
      <c r="D35" s="45"/>
      <c r="F35">
        <v>0</v>
      </c>
      <c r="G35" s="13" t="s">
        <v>107</v>
      </c>
    </row>
    <row r="36" spans="1:7" ht="15.75">
      <c r="A36" s="39" t="s">
        <v>29</v>
      </c>
      <c r="B36" s="44" t="s">
        <v>30</v>
      </c>
      <c r="C36" s="41" t="s">
        <v>31</v>
      </c>
      <c r="D36" s="44">
        <f>IF(IFERROR(SEARCH("Материальные средства ", C36), 0) &gt; 0, 5, IF(IFERROR(SEARCH("Не выполнены ", C36), 0) &gt; 0, 0, ))</f>
        <v>5</v>
      </c>
      <c r="F36">
        <v>5</v>
      </c>
      <c r="G36" s="13" t="s">
        <v>31</v>
      </c>
    </row>
    <row r="37" spans="1:7" ht="45" customHeight="1" thickBot="1">
      <c r="A37" s="40"/>
      <c r="B37" s="45"/>
      <c r="C37" s="43"/>
      <c r="D37" s="45"/>
      <c r="F37">
        <v>0</v>
      </c>
      <c r="G37" s="13" t="s">
        <v>110</v>
      </c>
    </row>
    <row r="38" spans="1:7" ht="15.75">
      <c r="A38" s="39" t="s">
        <v>32</v>
      </c>
      <c r="B38" s="44" t="s">
        <v>33</v>
      </c>
      <c r="C38" s="41" t="s">
        <v>108</v>
      </c>
      <c r="D38" s="44">
        <f>IF(IFERROR(SEARCH("5", C38), 0) &gt; 0, 2, IF(IFERROR(SEARCH("4", C38), 0) &gt; 0, 1, ))</f>
        <v>2</v>
      </c>
      <c r="F38">
        <v>2</v>
      </c>
      <c r="G38" s="13" t="s">
        <v>108</v>
      </c>
    </row>
    <row r="39" spans="1:7" ht="103.5" customHeight="1" thickBot="1">
      <c r="A39" s="40"/>
      <c r="B39" s="45"/>
      <c r="C39" s="43"/>
      <c r="D39" s="45"/>
      <c r="F39">
        <v>1</v>
      </c>
      <c r="G39" s="13" t="s">
        <v>109</v>
      </c>
    </row>
    <row r="40" spans="1:7">
      <c r="A40" s="46" t="s">
        <v>34</v>
      </c>
      <c r="B40" s="47"/>
      <c r="C40" s="66"/>
      <c r="D40" s="68">
        <f>SUM(D7:D39)</f>
        <v>76</v>
      </c>
      <c r="E40" s="65"/>
    </row>
    <row r="41" spans="1:7" ht="15.75" thickBot="1">
      <c r="A41" s="48"/>
      <c r="B41" s="49"/>
      <c r="C41" s="67"/>
      <c r="D41" s="69"/>
      <c r="E41" s="65"/>
    </row>
    <row r="43" spans="1:7" ht="20.25">
      <c r="A43" s="37" t="s">
        <v>35</v>
      </c>
      <c r="B43" s="37"/>
      <c r="C43" s="37"/>
      <c r="D43" s="5"/>
      <c r="E43" s="5"/>
    </row>
    <row r="44" spans="1:7" ht="20.25">
      <c r="A44" s="37"/>
      <c r="B44" s="37"/>
      <c r="C44" s="37"/>
      <c r="D44" s="6"/>
      <c r="E44" s="6"/>
    </row>
    <row r="45" spans="1:7" ht="20.25">
      <c r="A45" s="5"/>
      <c r="B45" s="5"/>
      <c r="C45" s="5" t="s">
        <v>36</v>
      </c>
      <c r="D45" s="5"/>
      <c r="E45" s="5"/>
    </row>
    <row r="46" spans="1:7" ht="20.25">
      <c r="A46" s="5"/>
      <c r="B46" s="5"/>
      <c r="C46" s="5" t="s">
        <v>307</v>
      </c>
    </row>
  </sheetData>
  <mergeCells count="63">
    <mergeCell ref="A1:E1"/>
    <mergeCell ref="A2:E2"/>
    <mergeCell ref="A3:E3"/>
    <mergeCell ref="A4:E4"/>
    <mergeCell ref="B5:B6"/>
    <mergeCell ref="C5:C6"/>
    <mergeCell ref="D5:D6"/>
    <mergeCell ref="A7:A9"/>
    <mergeCell ref="B7:B9"/>
    <mergeCell ref="C7:C9"/>
    <mergeCell ref="D7:D9"/>
    <mergeCell ref="A10:A11"/>
    <mergeCell ref="B10:B11"/>
    <mergeCell ref="C10:C11"/>
    <mergeCell ref="D10:D11"/>
    <mergeCell ref="A12:A14"/>
    <mergeCell ref="B12:B14"/>
    <mergeCell ref="C12:C14"/>
    <mergeCell ref="D12:D14"/>
    <mergeCell ref="A15:A17"/>
    <mergeCell ref="B15:B17"/>
    <mergeCell ref="C15:C17"/>
    <mergeCell ref="D15:D17"/>
    <mergeCell ref="A18:A20"/>
    <mergeCell ref="B18:B20"/>
    <mergeCell ref="C18:C20"/>
    <mergeCell ref="D18:D20"/>
    <mergeCell ref="A21:A22"/>
    <mergeCell ref="B21:B22"/>
    <mergeCell ref="C21:C22"/>
    <mergeCell ref="D21:D22"/>
    <mergeCell ref="A23:A25"/>
    <mergeCell ref="B23:B25"/>
    <mergeCell ref="C23:C25"/>
    <mergeCell ref="D23:D25"/>
    <mergeCell ref="A26:A27"/>
    <mergeCell ref="B26:B27"/>
    <mergeCell ref="C26:C27"/>
    <mergeCell ref="D26:D27"/>
    <mergeCell ref="A28:A30"/>
    <mergeCell ref="B28:B30"/>
    <mergeCell ref="C28:C30"/>
    <mergeCell ref="D28:D30"/>
    <mergeCell ref="A31:A32"/>
    <mergeCell ref="B31:B32"/>
    <mergeCell ref="C31:C32"/>
    <mergeCell ref="D31:D32"/>
    <mergeCell ref="A33:A35"/>
    <mergeCell ref="B33:B35"/>
    <mergeCell ref="C33:C35"/>
    <mergeCell ref="D33:D35"/>
    <mergeCell ref="A36:A37"/>
    <mergeCell ref="B36:B37"/>
    <mergeCell ref="C36:C37"/>
    <mergeCell ref="D36:D37"/>
    <mergeCell ref="E40:E41"/>
    <mergeCell ref="A43:C44"/>
    <mergeCell ref="A38:A39"/>
    <mergeCell ref="B38:B39"/>
    <mergeCell ref="C38:C39"/>
    <mergeCell ref="D38:D39"/>
    <mergeCell ref="A40:C41"/>
    <mergeCell ref="D40:D41"/>
  </mergeCells>
  <dataValidations count="13">
    <dataValidation type="list" allowBlank="1" showInputMessage="1" showErrorMessage="1" sqref="C38:C39">
      <formula1>$G$38:$G$39</formula1>
    </dataValidation>
    <dataValidation type="list" allowBlank="1" showInputMessage="1" showErrorMessage="1" sqref="C36:C37">
      <formula1>$G$36:$G$37</formula1>
    </dataValidation>
    <dataValidation type="list" allowBlank="1" showInputMessage="1" showErrorMessage="1" sqref="C33:C35">
      <formula1>$G$33:$G$35</formula1>
    </dataValidation>
    <dataValidation type="list" allowBlank="1" showInputMessage="1" showErrorMessage="1" sqref="C31:C32">
      <formula1>$G$31:$G$32</formula1>
    </dataValidation>
    <dataValidation type="list" allowBlank="1" showInputMessage="1" showErrorMessage="1" sqref="C28:C30">
      <formula1>$G$28:$G$30</formula1>
    </dataValidation>
    <dataValidation type="list" allowBlank="1" showInputMessage="1" showErrorMessage="1" sqref="C26:C27">
      <formula1>$G$26:$G$27</formula1>
    </dataValidation>
    <dataValidation type="list" allowBlank="1" showInputMessage="1" showErrorMessage="1" sqref="C23:C25">
      <formula1>$G$23:$G$25</formula1>
    </dataValidation>
    <dataValidation type="list" allowBlank="1" showInputMessage="1" showErrorMessage="1" sqref="C21:C22">
      <formula1>$G$21:$G$22</formula1>
    </dataValidation>
    <dataValidation type="list" allowBlank="1" showInputMessage="1" showErrorMessage="1" sqref="C18:C20">
      <formula1>$G$18:$G$20</formula1>
    </dataValidation>
    <dataValidation type="list" allowBlank="1" showInputMessage="1" showErrorMessage="1" sqref="C15:C17">
      <formula1>$G$15:$G$17</formula1>
    </dataValidation>
    <dataValidation type="list" allowBlank="1" showInputMessage="1" showErrorMessage="1" sqref="C12:C14">
      <formula1>$G$12:$G$14</formula1>
    </dataValidation>
    <dataValidation type="list" allowBlank="1" showInputMessage="1" showErrorMessage="1" sqref="C10:C11">
      <formula1>$G$10:$G$11</formula1>
    </dataValidation>
    <dataValidation type="list" allowBlank="1" showInputMessage="1" showErrorMessage="1" sqref="C7:C9">
      <formula1>$G$7:$G$9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sheetPr>
    <tabColor theme="1"/>
  </sheetPr>
  <dimension ref="A1:U46"/>
  <sheetViews>
    <sheetView topLeftCell="A22" zoomScale="70" zoomScaleNormal="70" workbookViewId="0">
      <selection activeCell="C28" sqref="C28:C30"/>
    </sheetView>
  </sheetViews>
  <sheetFormatPr defaultRowHeight="15"/>
  <cols>
    <col min="2" max="2" width="26" customWidth="1"/>
    <col min="3" max="3" width="58.5703125" customWidth="1"/>
    <col min="4" max="4" width="28.42578125" customWidth="1"/>
    <col min="5" max="5" width="24.140625" hidden="1" customWidth="1"/>
    <col min="6" max="6" width="24" hidden="1" customWidth="1"/>
    <col min="7" max="7" width="1.85546875" hidden="1" customWidth="1"/>
    <col min="8" max="8" width="18.42578125" customWidth="1"/>
  </cols>
  <sheetData>
    <row r="1" spans="1:21" ht="20.25">
      <c r="A1" s="56" t="s">
        <v>0</v>
      </c>
      <c r="B1" s="56"/>
      <c r="C1" s="56"/>
      <c r="D1" s="56"/>
      <c r="E1" s="56"/>
    </row>
    <row r="2" spans="1:21" ht="18.75">
      <c r="A2" s="57" t="s">
        <v>1</v>
      </c>
      <c r="B2" s="57"/>
      <c r="C2" s="57"/>
      <c r="D2" s="57"/>
      <c r="E2" s="57"/>
    </row>
    <row r="3" spans="1:21" ht="18.75" customHeight="1">
      <c r="A3" s="58" t="s">
        <v>309</v>
      </c>
      <c r="B3" s="57"/>
      <c r="C3" s="57"/>
      <c r="D3" s="57"/>
      <c r="E3" s="57"/>
    </row>
    <row r="4" spans="1:21" ht="16.5" thickBot="1">
      <c r="A4" s="59"/>
      <c r="B4" s="59"/>
      <c r="C4" s="59"/>
      <c r="D4" s="59"/>
      <c r="E4" s="59"/>
    </row>
    <row r="5" spans="1:21" ht="15.75">
      <c r="A5" s="2" t="s">
        <v>3</v>
      </c>
      <c r="B5" s="60" t="s">
        <v>54</v>
      </c>
      <c r="C5" s="60" t="s">
        <v>55</v>
      </c>
      <c r="D5" s="60" t="s">
        <v>42</v>
      </c>
    </row>
    <row r="6" spans="1:21" ht="16.5" thickBot="1">
      <c r="A6" s="4" t="s">
        <v>4</v>
      </c>
      <c r="B6" s="61"/>
      <c r="C6" s="61"/>
      <c r="D6" s="61"/>
    </row>
    <row r="7" spans="1:21" ht="13.5" customHeight="1">
      <c r="A7" s="39" t="s">
        <v>5</v>
      </c>
      <c r="B7" s="44" t="s">
        <v>6</v>
      </c>
      <c r="C7" s="44" t="s">
        <v>83</v>
      </c>
      <c r="D7" s="44">
        <f>IF(IFERROR(SEARCH("подразделения ≥ 4,5", C7), 0) &gt; 0, 5, IF(IFERROR(SEARCH("подразделения ≥ 4,0", C7), 0) &gt; 0, 3, IF(IFERROR(SEARCH("&lt;", C7), 0) &gt; 0, 0,)))</f>
        <v>3</v>
      </c>
      <c r="F7">
        <v>5</v>
      </c>
      <c r="G7" s="16" t="s">
        <v>82</v>
      </c>
      <c r="N7" s="15"/>
      <c r="U7" s="15"/>
    </row>
    <row r="8" spans="1:21" ht="20.25" customHeight="1">
      <c r="A8" s="51"/>
      <c r="B8" s="54"/>
      <c r="C8" s="52"/>
      <c r="D8" s="52"/>
      <c r="F8">
        <v>3</v>
      </c>
      <c r="G8" s="17" t="s">
        <v>83</v>
      </c>
      <c r="N8" s="13"/>
      <c r="U8" s="13"/>
    </row>
    <row r="9" spans="1:21" ht="18" customHeight="1" thickBot="1">
      <c r="A9" s="40"/>
      <c r="B9" s="55"/>
      <c r="C9" s="45"/>
      <c r="D9" s="45"/>
      <c r="F9">
        <v>0</v>
      </c>
      <c r="G9" s="18" t="s">
        <v>84</v>
      </c>
    </row>
    <row r="10" spans="1:21">
      <c r="A10" s="39" t="s">
        <v>7</v>
      </c>
      <c r="B10" s="44" t="s">
        <v>8</v>
      </c>
      <c r="C10" s="44" t="s">
        <v>85</v>
      </c>
      <c r="D10" s="44">
        <f>IF(IFERROR(SEARCH("отсутствуют", C10), 0) &gt; 0, 10, IF(IFERROR(SEARCH("имеются", C10), 0) &gt; 0, 0, ))</f>
        <v>10</v>
      </c>
      <c r="F10">
        <v>10</v>
      </c>
      <c r="G10" t="s">
        <v>85</v>
      </c>
    </row>
    <row r="11" spans="1:21" ht="24.75" customHeight="1" thickBot="1">
      <c r="A11" s="40"/>
      <c r="B11" s="45"/>
      <c r="C11" s="45"/>
      <c r="D11" s="45"/>
      <c r="F11">
        <v>0</v>
      </c>
      <c r="G11" s="13" t="s">
        <v>86</v>
      </c>
    </row>
    <row r="12" spans="1:21" ht="18" customHeight="1" thickBot="1">
      <c r="A12" s="39" t="s">
        <v>9</v>
      </c>
      <c r="B12" s="44" t="s">
        <v>10</v>
      </c>
      <c r="C12" s="44" t="s">
        <v>88</v>
      </c>
      <c r="D12" s="44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>3</v>
      </c>
      <c r="F12">
        <v>5</v>
      </c>
      <c r="G12" s="14" t="s">
        <v>87</v>
      </c>
    </row>
    <row r="13" spans="1:21" ht="15.75">
      <c r="A13" s="51"/>
      <c r="B13" s="52"/>
      <c r="C13" s="52"/>
      <c r="D13" s="52"/>
      <c r="F13">
        <v>3</v>
      </c>
      <c r="G13" s="13" t="s">
        <v>88</v>
      </c>
    </row>
    <row r="14" spans="1:21" ht="16.5" thickBot="1">
      <c r="A14" s="40"/>
      <c r="B14" s="45"/>
      <c r="C14" s="45"/>
      <c r="D14" s="45"/>
      <c r="F14">
        <v>0</v>
      </c>
      <c r="G14" s="13" t="s">
        <v>89</v>
      </c>
    </row>
    <row r="15" spans="1:21" ht="15.75">
      <c r="A15" s="39" t="s">
        <v>11</v>
      </c>
      <c r="B15" s="44" t="s">
        <v>12</v>
      </c>
      <c r="C15" s="41" t="s">
        <v>91</v>
      </c>
      <c r="D15" s="44">
        <f>IF(IFERROR(SEARCH("Отсутствуют", C15), 0) &gt; 0, 5, IF(IFERROR(SEARCH("Наличие одного", C15), 0) &gt; 0, 3, IF(IFERROR(SEARCH("Наличие двух", C15), 0) &gt; 0, 0,)))</f>
        <v>3</v>
      </c>
      <c r="F15">
        <v>5</v>
      </c>
      <c r="G15" s="19" t="s">
        <v>90</v>
      </c>
    </row>
    <row r="16" spans="1:21" ht="15.75">
      <c r="A16" s="51"/>
      <c r="B16" s="52"/>
      <c r="C16" s="53"/>
      <c r="D16" s="52"/>
      <c r="F16">
        <v>3</v>
      </c>
      <c r="G16" s="13" t="s">
        <v>91</v>
      </c>
    </row>
    <row r="17" spans="1:7" ht="92.25" customHeight="1" thickBot="1">
      <c r="A17" s="40"/>
      <c r="B17" s="45"/>
      <c r="C17" s="43"/>
      <c r="D17" s="45"/>
      <c r="F17">
        <v>0</v>
      </c>
      <c r="G17" s="13" t="s">
        <v>92</v>
      </c>
    </row>
    <row r="18" spans="1:7" ht="15" customHeight="1" thickBot="1">
      <c r="A18" s="39" t="s">
        <v>13</v>
      </c>
      <c r="B18" s="44" t="s">
        <v>14</v>
      </c>
      <c r="C18" s="41" t="s">
        <v>93</v>
      </c>
      <c r="D18" s="44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>10</v>
      </c>
      <c r="F18">
        <v>10</v>
      </c>
      <c r="G18" s="13" t="s">
        <v>93</v>
      </c>
    </row>
    <row r="19" spans="1:7" ht="15" customHeight="1" thickBot="1">
      <c r="A19" s="51"/>
      <c r="B19" s="52"/>
      <c r="C19" s="53"/>
      <c r="D19" s="52"/>
      <c r="F19">
        <v>2</v>
      </c>
      <c r="G19" s="14" t="s">
        <v>94</v>
      </c>
    </row>
    <row r="20" spans="1:7" ht="57" customHeight="1" thickBot="1">
      <c r="A20" s="40"/>
      <c r="B20" s="45"/>
      <c r="C20" s="43"/>
      <c r="D20" s="45"/>
      <c r="F20">
        <v>0</v>
      </c>
      <c r="G20" s="13" t="s">
        <v>95</v>
      </c>
    </row>
    <row r="21" spans="1:7" ht="15.75">
      <c r="A21" s="39" t="s">
        <v>15</v>
      </c>
      <c r="B21" s="44" t="s">
        <v>16</v>
      </c>
      <c r="C21" s="41" t="s">
        <v>96</v>
      </c>
      <c r="D21" s="44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>5</v>
      </c>
      <c r="F21">
        <v>5</v>
      </c>
      <c r="G21" s="13" t="s">
        <v>96</v>
      </c>
    </row>
    <row r="22" spans="1:7" ht="42.75" customHeight="1" thickBot="1">
      <c r="A22" s="40"/>
      <c r="B22" s="45"/>
      <c r="C22" s="43"/>
      <c r="D22" s="45"/>
      <c r="F22">
        <v>0</v>
      </c>
      <c r="G22" s="13" t="s">
        <v>97</v>
      </c>
    </row>
    <row r="23" spans="1:7" ht="15.75">
      <c r="A23" s="39" t="s">
        <v>17</v>
      </c>
      <c r="B23" s="44" t="s">
        <v>18</v>
      </c>
      <c r="C23" s="41" t="s">
        <v>19</v>
      </c>
      <c r="D23" s="44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>10</v>
      </c>
      <c r="F23">
        <v>10</v>
      </c>
      <c r="G23" s="13" t="s">
        <v>19</v>
      </c>
    </row>
    <row r="24" spans="1:7" ht="15.75">
      <c r="A24" s="51"/>
      <c r="B24" s="52"/>
      <c r="C24" s="53"/>
      <c r="D24" s="52"/>
      <c r="F24">
        <v>5</v>
      </c>
      <c r="G24" s="13" t="s">
        <v>98</v>
      </c>
    </row>
    <row r="25" spans="1:7" ht="82.5" customHeight="1" thickBot="1">
      <c r="A25" s="40"/>
      <c r="B25" s="45"/>
      <c r="C25" s="43"/>
      <c r="D25" s="45"/>
      <c r="F25">
        <v>0</v>
      </c>
      <c r="G25" s="13" t="s">
        <v>99</v>
      </c>
    </row>
    <row r="26" spans="1:7" ht="15.75">
      <c r="A26" s="39" t="s">
        <v>20</v>
      </c>
      <c r="B26" s="44" t="s">
        <v>21</v>
      </c>
      <c r="C26" s="41" t="s">
        <v>22</v>
      </c>
      <c r="D26" s="44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>3</v>
      </c>
      <c r="F26">
        <v>3</v>
      </c>
      <c r="G26" s="13" t="s">
        <v>22</v>
      </c>
    </row>
    <row r="27" spans="1:7" ht="41.25" customHeight="1" thickBot="1">
      <c r="A27" s="40"/>
      <c r="B27" s="45"/>
      <c r="C27" s="43"/>
      <c r="D27" s="45"/>
      <c r="F27">
        <v>0</v>
      </c>
      <c r="G27" s="13" t="s">
        <v>100</v>
      </c>
    </row>
    <row r="28" spans="1:7" ht="15.75">
      <c r="A28" s="39" t="s">
        <v>23</v>
      </c>
      <c r="B28" s="44" t="s">
        <v>24</v>
      </c>
      <c r="C28" s="41" t="s">
        <v>102</v>
      </c>
      <c r="D28" s="44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>3</v>
      </c>
      <c r="F28">
        <v>5</v>
      </c>
      <c r="G28" s="13" t="s">
        <v>101</v>
      </c>
    </row>
    <row r="29" spans="1:7" ht="15.75">
      <c r="A29" s="51"/>
      <c r="B29" s="52"/>
      <c r="C29" s="53"/>
      <c r="D29" s="52"/>
      <c r="F29">
        <v>3</v>
      </c>
      <c r="G29" s="13" t="s">
        <v>102</v>
      </c>
    </row>
    <row r="30" spans="1:7" ht="61.5" customHeight="1" thickBot="1">
      <c r="A30" s="40"/>
      <c r="B30" s="45"/>
      <c r="C30" s="43"/>
      <c r="D30" s="45"/>
      <c r="F30">
        <v>0</v>
      </c>
      <c r="G30" s="13" t="s">
        <v>103</v>
      </c>
    </row>
    <row r="31" spans="1:7" ht="15.75">
      <c r="A31" s="39" t="s">
        <v>25</v>
      </c>
      <c r="B31" s="44" t="s">
        <v>26</v>
      </c>
      <c r="C31" s="41" t="s">
        <v>104</v>
      </c>
      <c r="D31" s="44">
        <f>IF(IFERROR(SEARCH("Отсутствуют нарушения ТБ", C31), 0) &gt; 0, 10, IF(IFERROR(SEARCH("Имелись нарушения ТБ", C31), 0) &gt; 0, 0, ))</f>
        <v>10</v>
      </c>
      <c r="F31">
        <v>10</v>
      </c>
      <c r="G31" s="13" t="s">
        <v>104</v>
      </c>
    </row>
    <row r="32" spans="1:7" ht="33.75" customHeight="1" thickBot="1">
      <c r="A32" s="40"/>
      <c r="B32" s="45"/>
      <c r="C32" s="43"/>
      <c r="D32" s="45"/>
      <c r="F32">
        <v>0</v>
      </c>
      <c r="G32" s="13" t="s">
        <v>105</v>
      </c>
    </row>
    <row r="33" spans="1:7" ht="15.75">
      <c r="A33" s="39" t="s">
        <v>27</v>
      </c>
      <c r="B33" s="44" t="s">
        <v>28</v>
      </c>
      <c r="C33" s="41" t="s">
        <v>52</v>
      </c>
      <c r="D33" s="44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>10</v>
      </c>
      <c r="F33">
        <v>10</v>
      </c>
      <c r="G33" s="13" t="s">
        <v>52</v>
      </c>
    </row>
    <row r="34" spans="1:7" ht="15.75">
      <c r="A34" s="51"/>
      <c r="B34" s="52"/>
      <c r="C34" s="53"/>
      <c r="D34" s="52"/>
      <c r="F34">
        <v>5</v>
      </c>
      <c r="G34" s="13" t="s">
        <v>106</v>
      </c>
    </row>
    <row r="35" spans="1:7" ht="18" customHeight="1" thickBot="1">
      <c r="A35" s="40"/>
      <c r="B35" s="45"/>
      <c r="C35" s="43"/>
      <c r="D35" s="45"/>
      <c r="F35">
        <v>0</v>
      </c>
      <c r="G35" s="13" t="s">
        <v>107</v>
      </c>
    </row>
    <row r="36" spans="1:7" ht="15.75">
      <c r="A36" s="39" t="s">
        <v>29</v>
      </c>
      <c r="B36" s="44" t="s">
        <v>30</v>
      </c>
      <c r="C36" s="41" t="s">
        <v>31</v>
      </c>
      <c r="D36" s="44">
        <f>IF(IFERROR(SEARCH("Материальные средства ", C36), 0) &gt; 0, 5, IF(IFERROR(SEARCH("Не выполнены ", C36), 0) &gt; 0, 0, ))</f>
        <v>5</v>
      </c>
      <c r="F36">
        <v>5</v>
      </c>
      <c r="G36" s="13" t="s">
        <v>31</v>
      </c>
    </row>
    <row r="37" spans="1:7" ht="45" customHeight="1" thickBot="1">
      <c r="A37" s="40"/>
      <c r="B37" s="45"/>
      <c r="C37" s="43"/>
      <c r="D37" s="45"/>
      <c r="F37">
        <v>0</v>
      </c>
      <c r="G37" s="13" t="s">
        <v>110</v>
      </c>
    </row>
    <row r="38" spans="1:7" ht="15.75">
      <c r="A38" s="39" t="s">
        <v>32</v>
      </c>
      <c r="B38" s="44" t="s">
        <v>33</v>
      </c>
      <c r="C38" s="41" t="s">
        <v>108</v>
      </c>
      <c r="D38" s="44">
        <f>IF(IFERROR(SEARCH("5", C38), 0) &gt; 0, 2, IF(IFERROR(SEARCH("4", C38), 0) &gt; 0, 1, ))</f>
        <v>2</v>
      </c>
      <c r="F38">
        <v>2</v>
      </c>
      <c r="G38" s="13" t="s">
        <v>108</v>
      </c>
    </row>
    <row r="39" spans="1:7" ht="103.5" customHeight="1" thickBot="1">
      <c r="A39" s="40"/>
      <c r="B39" s="45"/>
      <c r="C39" s="43"/>
      <c r="D39" s="45"/>
      <c r="F39">
        <v>1</v>
      </c>
      <c r="G39" s="13" t="s">
        <v>109</v>
      </c>
    </row>
    <row r="40" spans="1:7">
      <c r="A40" s="46" t="s">
        <v>34</v>
      </c>
      <c r="B40" s="47"/>
      <c r="C40" s="66"/>
      <c r="D40" s="68">
        <f>SUM(D7:D39)</f>
        <v>77</v>
      </c>
      <c r="E40" s="65"/>
    </row>
    <row r="41" spans="1:7" ht="15.75" thickBot="1">
      <c r="A41" s="48"/>
      <c r="B41" s="49"/>
      <c r="C41" s="67"/>
      <c r="D41" s="69"/>
      <c r="E41" s="65"/>
    </row>
    <row r="43" spans="1:7" ht="20.25">
      <c r="A43" s="37" t="s">
        <v>35</v>
      </c>
      <c r="B43" s="37"/>
      <c r="C43" s="37"/>
      <c r="D43" s="5"/>
      <c r="E43" s="5"/>
    </row>
    <row r="44" spans="1:7" ht="20.25">
      <c r="A44" s="37"/>
      <c r="B44" s="37"/>
      <c r="C44" s="37"/>
      <c r="D44" s="6"/>
      <c r="E44" s="6"/>
    </row>
    <row r="45" spans="1:7" ht="20.25">
      <c r="A45" s="5"/>
      <c r="B45" s="5"/>
      <c r="C45" s="5" t="s">
        <v>36</v>
      </c>
      <c r="D45" s="5"/>
      <c r="E45" s="5"/>
    </row>
    <row r="46" spans="1:7" ht="20.25">
      <c r="A46" s="5"/>
      <c r="B46" s="5"/>
      <c r="C46" s="5" t="s">
        <v>307</v>
      </c>
    </row>
  </sheetData>
  <mergeCells count="63">
    <mergeCell ref="A1:E1"/>
    <mergeCell ref="A2:E2"/>
    <mergeCell ref="A3:E3"/>
    <mergeCell ref="A4:E4"/>
    <mergeCell ref="B5:B6"/>
    <mergeCell ref="C5:C6"/>
    <mergeCell ref="D5:D6"/>
    <mergeCell ref="A7:A9"/>
    <mergeCell ref="B7:B9"/>
    <mergeCell ref="C7:C9"/>
    <mergeCell ref="D7:D9"/>
    <mergeCell ref="A10:A11"/>
    <mergeCell ref="B10:B11"/>
    <mergeCell ref="C10:C11"/>
    <mergeCell ref="D10:D11"/>
    <mergeCell ref="A12:A14"/>
    <mergeCell ref="B12:B14"/>
    <mergeCell ref="C12:C14"/>
    <mergeCell ref="D12:D14"/>
    <mergeCell ref="A15:A17"/>
    <mergeCell ref="B15:B17"/>
    <mergeCell ref="C15:C17"/>
    <mergeCell ref="D15:D17"/>
    <mergeCell ref="A18:A20"/>
    <mergeCell ref="B18:B20"/>
    <mergeCell ref="C18:C20"/>
    <mergeCell ref="D18:D20"/>
    <mergeCell ref="A21:A22"/>
    <mergeCell ref="B21:B22"/>
    <mergeCell ref="C21:C22"/>
    <mergeCell ref="D21:D22"/>
    <mergeCell ref="A23:A25"/>
    <mergeCell ref="B23:B25"/>
    <mergeCell ref="C23:C25"/>
    <mergeCell ref="D23:D25"/>
    <mergeCell ref="A26:A27"/>
    <mergeCell ref="B26:B27"/>
    <mergeCell ref="C26:C27"/>
    <mergeCell ref="D26:D27"/>
    <mergeCell ref="A28:A30"/>
    <mergeCell ref="B28:B30"/>
    <mergeCell ref="C28:C30"/>
    <mergeCell ref="D28:D30"/>
    <mergeCell ref="A31:A32"/>
    <mergeCell ref="B31:B32"/>
    <mergeCell ref="C31:C32"/>
    <mergeCell ref="D31:D32"/>
    <mergeCell ref="A33:A35"/>
    <mergeCell ref="B33:B35"/>
    <mergeCell ref="C33:C35"/>
    <mergeCell ref="D33:D35"/>
    <mergeCell ref="A36:A37"/>
    <mergeCell ref="B36:B37"/>
    <mergeCell ref="C36:C37"/>
    <mergeCell ref="D36:D37"/>
    <mergeCell ref="E40:E41"/>
    <mergeCell ref="A43:C44"/>
    <mergeCell ref="A38:A39"/>
    <mergeCell ref="B38:B39"/>
    <mergeCell ref="C38:C39"/>
    <mergeCell ref="D38:D39"/>
    <mergeCell ref="A40:C41"/>
    <mergeCell ref="D40:D41"/>
  </mergeCells>
  <dataValidations count="13">
    <dataValidation type="list" allowBlank="1" showInputMessage="1" showErrorMessage="1" sqref="C7:C9">
      <formula1>$G$7:$G$9</formula1>
    </dataValidation>
    <dataValidation type="list" allowBlank="1" showInputMessage="1" showErrorMessage="1" sqref="C10:C11">
      <formula1>$G$10:$G$11</formula1>
    </dataValidation>
    <dataValidation type="list" allowBlank="1" showInputMessage="1" showErrorMessage="1" sqref="C12:C14">
      <formula1>$G$12:$G$14</formula1>
    </dataValidation>
    <dataValidation type="list" allowBlank="1" showInputMessage="1" showErrorMessage="1" sqref="C15:C17">
      <formula1>$G$15:$G$17</formula1>
    </dataValidation>
    <dataValidation type="list" allowBlank="1" showInputMessage="1" showErrorMessage="1" sqref="C18:C20">
      <formula1>$G$18:$G$20</formula1>
    </dataValidation>
    <dataValidation type="list" allowBlank="1" showInputMessage="1" showErrorMessage="1" sqref="C21:C22">
      <formula1>$G$21:$G$22</formula1>
    </dataValidation>
    <dataValidation type="list" allowBlank="1" showInputMessage="1" showErrorMessage="1" sqref="C23:C25">
      <formula1>$G$23:$G$25</formula1>
    </dataValidation>
    <dataValidation type="list" allowBlank="1" showInputMessage="1" showErrorMessage="1" sqref="C26:C27">
      <formula1>$G$26:$G$27</formula1>
    </dataValidation>
    <dataValidation type="list" allowBlank="1" showInputMessage="1" showErrorMessage="1" sqref="C28:C30">
      <formula1>$G$28:$G$30</formula1>
    </dataValidation>
    <dataValidation type="list" allowBlank="1" showInputMessage="1" showErrorMessage="1" sqref="C31:C32">
      <formula1>$G$31:$G$32</formula1>
    </dataValidation>
    <dataValidation type="list" allowBlank="1" showInputMessage="1" showErrorMessage="1" sqref="C33:C35">
      <formula1>$G$33:$G$35</formula1>
    </dataValidation>
    <dataValidation type="list" allowBlank="1" showInputMessage="1" showErrorMessage="1" sqref="C36:C37">
      <formula1>$G$36:$G$37</formula1>
    </dataValidation>
    <dataValidation type="list" allowBlank="1" showInputMessage="1" showErrorMessage="1" sqref="C38:C39">
      <formula1>$G$38:$G$39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sheetPr>
    <tabColor theme="1"/>
  </sheetPr>
  <dimension ref="A1:L56"/>
  <sheetViews>
    <sheetView zoomScale="55" zoomScaleNormal="55" workbookViewId="0">
      <selection activeCell="G1" sqref="G1:L1048576"/>
    </sheetView>
  </sheetViews>
  <sheetFormatPr defaultRowHeight="15"/>
  <cols>
    <col min="2" max="2" width="26" customWidth="1"/>
    <col min="3" max="3" width="58.5703125" customWidth="1"/>
    <col min="4" max="4" width="28.5703125" customWidth="1"/>
    <col min="5" max="5" width="0.140625" customWidth="1"/>
    <col min="6" max="6" width="0.42578125" customWidth="1"/>
    <col min="7" max="11" width="9.140625" hidden="1" customWidth="1"/>
    <col min="12" max="12" width="12" hidden="1" customWidth="1"/>
    <col min="13" max="13" width="9.140625" customWidth="1"/>
  </cols>
  <sheetData>
    <row r="1" spans="1:12" ht="20.25">
      <c r="A1" s="56" t="s">
        <v>0</v>
      </c>
      <c r="B1" s="56"/>
      <c r="C1" s="56"/>
      <c r="D1" s="56"/>
      <c r="E1" s="56"/>
    </row>
    <row r="2" spans="1:12" ht="18.75">
      <c r="A2" s="57" t="s">
        <v>1</v>
      </c>
      <c r="B2" s="57"/>
      <c r="C2" s="57"/>
      <c r="D2" s="57"/>
      <c r="E2" s="57"/>
    </row>
    <row r="3" spans="1:12" ht="18.75" customHeight="1">
      <c r="A3" s="58" t="s">
        <v>304</v>
      </c>
      <c r="B3" s="57"/>
      <c r="C3" s="57"/>
      <c r="D3" s="57"/>
      <c r="E3" s="57"/>
    </row>
    <row r="4" spans="1:12" ht="16.5" thickBot="1">
      <c r="A4" s="59"/>
      <c r="B4" s="59"/>
      <c r="C4" s="59"/>
      <c r="D4" s="59"/>
      <c r="E4" s="59"/>
    </row>
    <row r="5" spans="1:12" ht="15.75" customHeight="1">
      <c r="A5" s="2" t="s">
        <v>3</v>
      </c>
      <c r="B5" s="60" t="s">
        <v>54</v>
      </c>
      <c r="C5" s="60" t="s">
        <v>55</v>
      </c>
      <c r="D5" s="60" t="s">
        <v>42</v>
      </c>
    </row>
    <row r="6" spans="1:12" ht="16.5" thickBot="1">
      <c r="A6" s="4" t="s">
        <v>4</v>
      </c>
      <c r="B6" s="61"/>
      <c r="C6" s="61"/>
      <c r="D6" s="61"/>
    </row>
    <row r="7" spans="1:12" ht="15" customHeight="1">
      <c r="A7" s="39" t="s">
        <v>5</v>
      </c>
      <c r="B7" s="44" t="s">
        <v>6</v>
      </c>
      <c r="C7" s="44" t="s">
        <v>345</v>
      </c>
      <c r="D7" s="44">
        <f>IF(IFERROR(SEARCH("подразделения ≥ 4,5", C7), 0) &gt; 0, 5, IF(IFERROR(SEARCH("подразделения ≥ 4,0", C7), 0) &gt; 0, 3, IF(IFERROR(SEARCH("&lt;", C7), 0) &gt; 0, 0,)))</f>
        <v>0</v>
      </c>
      <c r="F7">
        <v>5</v>
      </c>
      <c r="G7" s="16" t="s">
        <v>344</v>
      </c>
    </row>
    <row r="8" spans="1:12" ht="15" customHeight="1">
      <c r="A8" s="51"/>
      <c r="B8" s="54"/>
      <c r="C8" s="52"/>
      <c r="D8" s="52"/>
      <c r="F8">
        <v>3</v>
      </c>
      <c r="G8" s="17" t="s">
        <v>343</v>
      </c>
    </row>
    <row r="9" spans="1:12" ht="18.75" customHeight="1" thickBot="1">
      <c r="A9" s="40"/>
      <c r="B9" s="55"/>
      <c r="C9" s="45"/>
      <c r="D9" s="45"/>
      <c r="F9">
        <v>0</v>
      </c>
      <c r="G9" s="18" t="s">
        <v>345</v>
      </c>
    </row>
    <row r="10" spans="1:12" ht="15" customHeight="1">
      <c r="A10" s="39" t="s">
        <v>7</v>
      </c>
      <c r="B10" s="44" t="s">
        <v>8</v>
      </c>
      <c r="C10" s="44" t="s">
        <v>259</v>
      </c>
      <c r="D10" s="44">
        <f>IF(C10="Академические задолжности отсутствуют",10,0)</f>
        <v>10</v>
      </c>
      <c r="F10">
        <v>10</v>
      </c>
    </row>
    <row r="11" spans="1:12" ht="15.75" customHeight="1" thickBot="1">
      <c r="A11" s="40"/>
      <c r="B11" s="45"/>
      <c r="C11" s="45"/>
      <c r="D11" s="45"/>
      <c r="F11">
        <v>0</v>
      </c>
    </row>
    <row r="12" spans="1:12" ht="15" customHeight="1">
      <c r="A12" s="39" t="s">
        <v>9</v>
      </c>
      <c r="B12" s="44" t="s">
        <v>10</v>
      </c>
      <c r="C12" s="44" t="s">
        <v>266</v>
      </c>
      <c r="D12" s="44">
        <f>IF(C12="В подразделении и у КУГ отсутствуют текущие задолжности",5,IF(C12="Имеются менее 20% текущих задолжностей в подразделении или у КУГ",3,IF(C12="Имеются более 20% текущих задолжностей в подразделении или у КУГ",0,)))</f>
        <v>5</v>
      </c>
      <c r="F12">
        <v>5</v>
      </c>
    </row>
    <row r="13" spans="1:12" ht="15" customHeight="1">
      <c r="A13" s="51"/>
      <c r="B13" s="52"/>
      <c r="C13" s="52"/>
      <c r="D13" s="52"/>
      <c r="F13">
        <v>3</v>
      </c>
    </row>
    <row r="14" spans="1:12" ht="15.75" customHeight="1" thickBot="1">
      <c r="A14" s="40"/>
      <c r="B14" s="45"/>
      <c r="C14" s="45"/>
      <c r="D14" s="45"/>
      <c r="F14">
        <v>0</v>
      </c>
    </row>
    <row r="15" spans="1:12" ht="15" customHeight="1">
      <c r="A15" s="39" t="s">
        <v>11</v>
      </c>
      <c r="B15" s="44" t="s">
        <v>39</v>
      </c>
      <c r="C15" s="64" t="s">
        <v>77</v>
      </c>
      <c r="D15" s="44">
        <f>IF(C15="Подразделение прибыло на занятие своевременно; дежурный по аудитории назначен; ЖУУЗ и классная доска оформлены; литература, конспекты, ПЭВМ (по необходимости) получены; внутренний порядок в аудитории поддерживается",5,IF(C15="Подразделение прибыло на занятие своевременно; дежурный по аудитории назначен; литература, конспекты, ПЭВМ (по необходимости) получены; ЖУУЗ или классная доска оформлены не своевременно; или имеются отклонения по  внутреннему порядку в аудитории",3,IF(C15="одразделение опоздало на занятие; или ЖУУЗ и классная доска не оформлены; литература, конспекты, ПЭВМ (по необходимости) не получены; или внутренний порядок в аудитории не поддерживается ",0,)))</f>
        <v>3</v>
      </c>
      <c r="F15">
        <v>5</v>
      </c>
      <c r="L15" s="13" t="s">
        <v>40</v>
      </c>
    </row>
    <row r="16" spans="1:12" ht="15" customHeight="1">
      <c r="A16" s="51"/>
      <c r="B16" s="52"/>
      <c r="C16" s="62"/>
      <c r="D16" s="52"/>
      <c r="F16">
        <v>3</v>
      </c>
      <c r="L16" s="13" t="s">
        <v>77</v>
      </c>
    </row>
    <row r="17" spans="1:12" ht="52.5" customHeight="1" thickBot="1">
      <c r="A17" s="40"/>
      <c r="B17" s="45"/>
      <c r="C17" s="63"/>
      <c r="D17" s="45"/>
      <c r="F17">
        <v>0</v>
      </c>
      <c r="L17" t="s">
        <v>78</v>
      </c>
    </row>
    <row r="18" spans="1:12" ht="15" customHeight="1" thickBot="1">
      <c r="A18" s="39" t="s">
        <v>13</v>
      </c>
      <c r="B18" s="44" t="s">
        <v>41</v>
      </c>
      <c r="C18" s="64" t="s">
        <v>80</v>
      </c>
      <c r="D18" s="44">
        <f>IF(IFERROR(SEARCH("30%", C18), 0) &gt; 0, 5, IF(IFERROR(SEARCH("10%", C18), 0) &gt; 0, 3, IF(IFERROR(SEARCH("не получены", C18), 0) &gt; 0, 0,)))</f>
        <v>3</v>
      </c>
      <c r="F18">
        <v>10</v>
      </c>
      <c r="L18" s="14" t="s">
        <v>79</v>
      </c>
    </row>
    <row r="19" spans="1:12" ht="15" customHeight="1">
      <c r="A19" s="51"/>
      <c r="B19" s="52"/>
      <c r="C19" s="62"/>
      <c r="D19" s="52"/>
      <c r="F19">
        <v>2</v>
      </c>
      <c r="L19" s="13" t="s">
        <v>80</v>
      </c>
    </row>
    <row r="20" spans="1:12" ht="105" customHeight="1" thickBot="1">
      <c r="A20" s="40"/>
      <c r="B20" s="45"/>
      <c r="C20" s="63"/>
      <c r="D20" s="45"/>
      <c r="F20">
        <v>0</v>
      </c>
      <c r="L20" s="13" t="s">
        <v>81</v>
      </c>
    </row>
    <row r="21" spans="1:12" ht="15" customHeight="1">
      <c r="A21" s="39" t="s">
        <v>15</v>
      </c>
      <c r="B21" s="44" t="s">
        <v>12</v>
      </c>
      <c r="C21" s="41" t="s">
        <v>73</v>
      </c>
      <c r="D21" s="44">
        <f>IF(C21="Замечания в подразделении и у КУГ отсутствуют",5,IF(C21="В подразделении 2 замечания у КУГ отсутствуют",3,IF(C21="В подразделении 3 и более замечаний или замечания у КУГ",0,)))</f>
        <v>5</v>
      </c>
      <c r="F21">
        <v>5</v>
      </c>
    </row>
    <row r="22" spans="1:12" ht="15.75" customHeight="1">
      <c r="A22" s="51"/>
      <c r="B22" s="52"/>
      <c r="C22" s="53"/>
      <c r="D22" s="52"/>
      <c r="F22">
        <v>0</v>
      </c>
    </row>
    <row r="23" spans="1:12" ht="82.5" customHeight="1" thickBot="1">
      <c r="A23" s="40"/>
      <c r="B23" s="45"/>
      <c r="C23" s="43"/>
      <c r="D23" s="45"/>
      <c r="F23">
        <v>10</v>
      </c>
    </row>
    <row r="24" spans="1:12" ht="15" customHeight="1">
      <c r="A24" s="39" t="s">
        <v>17</v>
      </c>
      <c r="B24" s="44" t="s">
        <v>14</v>
      </c>
      <c r="C24" s="41" t="s">
        <v>262</v>
      </c>
      <c r="D24" s="44">
        <f>IF(C24="ПРО, ПРЕ, ГДП в подразделении и КУГ отсутствуют",10,IF(C24="ПРО, ПРЕ отсутствуют, имеются не снятые взыскания за ГДП в подразделении, у КУГ отсутствуют",2,IF(C24="Совершено ПРО, ПРЕ, ГДП в подразделении или КУГ или допущено сокрытие",0,)))</f>
        <v>10</v>
      </c>
      <c r="F24">
        <v>5</v>
      </c>
    </row>
    <row r="25" spans="1:12" ht="15.75" customHeight="1">
      <c r="A25" s="51"/>
      <c r="B25" s="52"/>
      <c r="C25" s="53"/>
      <c r="D25" s="52"/>
      <c r="F25">
        <v>0</v>
      </c>
    </row>
    <row r="26" spans="1:12" ht="52.5" customHeight="1" thickBot="1">
      <c r="A26" s="40"/>
      <c r="B26" s="45"/>
      <c r="C26" s="43"/>
      <c r="D26" s="45"/>
      <c r="F26">
        <v>3</v>
      </c>
    </row>
    <row r="27" spans="1:12" ht="15.75" customHeight="1">
      <c r="A27" s="39" t="s">
        <v>20</v>
      </c>
      <c r="B27" s="44" t="s">
        <v>16</v>
      </c>
      <c r="C27" s="41" t="s">
        <v>57</v>
      </c>
      <c r="D27" s="44">
        <f>IF(C27="Дисциплинарная практика к подчиненному личному составу ведется",5,0)</f>
        <v>5</v>
      </c>
      <c r="F27">
        <v>0</v>
      </c>
    </row>
    <row r="28" spans="1:12" ht="15" customHeight="1" thickBot="1">
      <c r="A28" s="40"/>
      <c r="B28" s="45"/>
      <c r="C28" s="43"/>
      <c r="D28" s="45"/>
      <c r="F28">
        <v>5</v>
      </c>
    </row>
    <row r="29" spans="1:12" ht="15" customHeight="1">
      <c r="A29" s="39" t="s">
        <v>23</v>
      </c>
      <c r="B29" s="44" t="s">
        <v>18</v>
      </c>
      <c r="C29" s="41" t="s">
        <v>60</v>
      </c>
      <c r="D29" s="44">
        <f>IF(C29="Обстановкой владеет, доклады представляет, книжка сержантов актуальна",10,IF(C29="Обстановкой владеет, доклады представляет, книжка сержантов не актуальна",5,IF(C29="Обстановкой не владеет, доклады не представляет, книжка сержантов не актуальна",0,)))</f>
        <v>10</v>
      </c>
      <c r="F29">
        <v>3</v>
      </c>
    </row>
    <row r="30" spans="1:12" ht="15.75" customHeight="1">
      <c r="A30" s="51"/>
      <c r="B30" s="52"/>
      <c r="C30" s="53"/>
      <c r="D30" s="52"/>
      <c r="F30">
        <v>0</v>
      </c>
    </row>
    <row r="31" spans="1:12" ht="105" customHeight="1" thickBot="1">
      <c r="A31" s="40"/>
      <c r="B31" s="45"/>
      <c r="C31" s="43"/>
      <c r="D31" s="45"/>
      <c r="F31">
        <v>10</v>
      </c>
    </row>
    <row r="32" spans="1:12" ht="26.25" customHeight="1">
      <c r="A32" s="39" t="s">
        <v>25</v>
      </c>
      <c r="B32" s="44" t="s">
        <v>21</v>
      </c>
      <c r="C32" s="41" t="s">
        <v>75</v>
      </c>
      <c r="D32" s="44">
        <f>IF(C32="Подведение итогов актуально, поставлены конкретные задачи и проводится в установленное время",3,0)</f>
        <v>3</v>
      </c>
      <c r="F32">
        <v>0</v>
      </c>
    </row>
    <row r="33" spans="1:6" ht="30" customHeight="1" thickBot="1">
      <c r="A33" s="40"/>
      <c r="B33" s="45"/>
      <c r="C33" s="43"/>
      <c r="D33" s="45"/>
      <c r="F33">
        <v>10</v>
      </c>
    </row>
    <row r="34" spans="1:6" ht="15" customHeight="1">
      <c r="A34" s="51" t="s">
        <v>27</v>
      </c>
      <c r="B34" s="52" t="s">
        <v>43</v>
      </c>
      <c r="C34" s="41" t="s">
        <v>263</v>
      </c>
      <c r="D34" s="62">
        <f>IF(C34="Увольнения распределены равномерно",2,0)</f>
        <v>2</v>
      </c>
      <c r="F34">
        <v>5</v>
      </c>
    </row>
    <row r="35" spans="1:6" ht="15.75" customHeight="1" thickBot="1">
      <c r="A35" s="40"/>
      <c r="B35" s="45"/>
      <c r="C35" s="43"/>
      <c r="D35" s="63"/>
      <c r="F35">
        <v>0</v>
      </c>
    </row>
    <row r="36" spans="1:6" ht="15" customHeight="1">
      <c r="A36" s="39" t="s">
        <v>29</v>
      </c>
      <c r="B36" s="44" t="s">
        <v>44</v>
      </c>
      <c r="C36" s="44" t="s">
        <v>61</v>
      </c>
      <c r="D36" s="64">
        <f>IF(C36="Наряды и уборщики распределены равномерно",2,IF(C36="Наряды распределены равномерно, уборщики не равномерно",1,IF(C36="Наряды и уборщики распределены не равномерно",0,)))</f>
        <v>2</v>
      </c>
      <c r="F36">
        <v>5</v>
      </c>
    </row>
    <row r="37" spans="1:6" ht="15.75" customHeight="1">
      <c r="A37" s="51"/>
      <c r="B37" s="52"/>
      <c r="C37" s="52"/>
      <c r="D37" s="62"/>
      <c r="F37">
        <v>0</v>
      </c>
    </row>
    <row r="38" spans="1:6" ht="38.25" customHeight="1" thickBot="1">
      <c r="A38" s="40"/>
      <c r="B38" s="45"/>
      <c r="C38" s="45"/>
      <c r="D38" s="63"/>
      <c r="F38">
        <v>2</v>
      </c>
    </row>
    <row r="39" spans="1:6" ht="15.75" customHeight="1">
      <c r="A39" s="39" t="s">
        <v>32</v>
      </c>
      <c r="B39" s="44" t="s">
        <v>24</v>
      </c>
      <c r="C39" s="41" t="s">
        <v>336</v>
      </c>
      <c r="D39" s="44">
        <f>IF(C39="Замечания у подчиненного л/с отсутствуют, КУГ оценен не ниже «хорошо»",5,IF(C39="Выявлено не более 2 замечаний у подчиненного л/с, КУГ оценен не ниже «хорошо»",3,IF(C39="Л/с отстранен или выявлено более 2 замечаний, КУГ оценен ниже «хорошо»",0,)))</f>
        <v>3</v>
      </c>
      <c r="F39">
        <v>1</v>
      </c>
    </row>
    <row r="40" spans="1:6" ht="15" customHeight="1">
      <c r="A40" s="51"/>
      <c r="B40" s="52"/>
      <c r="C40" s="53"/>
      <c r="D40" s="52"/>
    </row>
    <row r="41" spans="1:6" ht="40.5" customHeight="1" thickBot="1">
      <c r="A41" s="40"/>
      <c r="B41" s="45"/>
      <c r="C41" s="43"/>
      <c r="D41" s="45"/>
    </row>
    <row r="42" spans="1:6">
      <c r="A42" s="39" t="s">
        <v>45</v>
      </c>
      <c r="B42" s="44" t="s">
        <v>26</v>
      </c>
      <c r="C42" s="41" t="s">
        <v>65</v>
      </c>
      <c r="D42" s="44">
        <f>IF(C42="Нарушений ТБ, приведших к травматизму л/с нет",10,0)</f>
        <v>10</v>
      </c>
    </row>
    <row r="43" spans="1:6" ht="44.25" customHeight="1" thickBot="1">
      <c r="A43" s="40"/>
      <c r="B43" s="45"/>
      <c r="C43" s="43"/>
      <c r="D43" s="45"/>
    </row>
    <row r="44" spans="1:6">
      <c r="A44" s="39" t="s">
        <v>46</v>
      </c>
      <c r="B44" s="44" t="s">
        <v>28</v>
      </c>
      <c r="C44" s="41" t="s">
        <v>52</v>
      </c>
      <c r="D44" s="44">
        <f>IF(C44="Элементы распорядка дня соблюдаются",10,IF(C44="Не более пяти нарушений распорядка дня, срывов мероприятий не допущено",5,IF(C44="Более пяти нарушений элементов распорядка дня или мероприятие сорвано",0,)))</f>
        <v>10</v>
      </c>
    </row>
    <row r="45" spans="1:6">
      <c r="A45" s="51"/>
      <c r="B45" s="52"/>
      <c r="C45" s="53"/>
      <c r="D45" s="52"/>
    </row>
    <row r="46" spans="1:6" ht="15.75" thickBot="1">
      <c r="A46" s="40"/>
      <c r="B46" s="45"/>
      <c r="C46" s="43"/>
      <c r="D46" s="45"/>
    </row>
    <row r="47" spans="1:6">
      <c r="A47" s="39" t="s">
        <v>47</v>
      </c>
      <c r="B47" s="44" t="s">
        <v>30</v>
      </c>
      <c r="C47" s="41" t="s">
        <v>31</v>
      </c>
      <c r="D47" s="44">
        <f>IF(C47="Материальные средства подразделения в наличии, исправны, обслужены, хранятся правильно",5,0)</f>
        <v>5</v>
      </c>
    </row>
    <row r="48" spans="1:6" ht="45" customHeight="1" thickBot="1">
      <c r="A48" s="40"/>
      <c r="B48" s="45"/>
      <c r="C48" s="43"/>
      <c r="D48" s="45"/>
    </row>
    <row r="49" spans="1:5">
      <c r="A49" s="39" t="s">
        <v>48</v>
      </c>
      <c r="B49" s="44" t="s">
        <v>33</v>
      </c>
      <c r="C49" s="41" t="s">
        <v>49</v>
      </c>
      <c r="D49" s="44">
        <f>IF(C49="Оценка по физической подготовке (культуре) - 5",2,1)</f>
        <v>2</v>
      </c>
    </row>
    <row r="50" spans="1:5" ht="97.5" customHeight="1" thickBot="1">
      <c r="A50" s="40"/>
      <c r="B50" s="45"/>
      <c r="C50" s="43"/>
      <c r="D50" s="45"/>
    </row>
    <row r="51" spans="1:5" ht="15.75">
      <c r="A51" s="46" t="s">
        <v>34</v>
      </c>
      <c r="B51" s="47"/>
      <c r="C51" s="47"/>
      <c r="D51" s="50">
        <f>SUM(D7:D50)</f>
        <v>88</v>
      </c>
      <c r="E51" s="8"/>
    </row>
    <row r="52" spans="1:5" ht="16.5" thickBot="1">
      <c r="A52" s="48"/>
      <c r="B52" s="49"/>
      <c r="C52" s="49"/>
      <c r="D52" s="42"/>
      <c r="E52" s="8"/>
    </row>
    <row r="54" spans="1:5" ht="20.25">
      <c r="A54" s="37" t="s">
        <v>35</v>
      </c>
      <c r="B54" s="37"/>
      <c r="C54" s="37"/>
      <c r="D54" s="37"/>
      <c r="E54" s="37"/>
    </row>
    <row r="55" spans="1:5" ht="20.25">
      <c r="A55" s="38" t="s">
        <v>36</v>
      </c>
      <c r="B55" s="38"/>
      <c r="C55" s="38"/>
      <c r="D55" s="38"/>
      <c r="E55" s="38"/>
    </row>
    <row r="56" spans="1:5" ht="21">
      <c r="A56" s="9"/>
      <c r="B56" s="9"/>
      <c r="C56" s="5" t="s">
        <v>308</v>
      </c>
      <c r="D56" s="5"/>
      <c r="E56" s="9"/>
    </row>
  </sheetData>
  <mergeCells count="79">
    <mergeCell ref="A1:E1"/>
    <mergeCell ref="A2:E2"/>
    <mergeCell ref="A3:E3"/>
    <mergeCell ref="A4:E4"/>
    <mergeCell ref="B5:B6"/>
    <mergeCell ref="C5:C6"/>
    <mergeCell ref="D5:D6"/>
    <mergeCell ref="A7:A9"/>
    <mergeCell ref="B7:B9"/>
    <mergeCell ref="C7:C9"/>
    <mergeCell ref="D7:D9"/>
    <mergeCell ref="A10:A11"/>
    <mergeCell ref="B10:B11"/>
    <mergeCell ref="C10:C11"/>
    <mergeCell ref="D10:D11"/>
    <mergeCell ref="A12:A14"/>
    <mergeCell ref="B12:B14"/>
    <mergeCell ref="C12:C14"/>
    <mergeCell ref="D12:D14"/>
    <mergeCell ref="A15:A17"/>
    <mergeCell ref="B15:B17"/>
    <mergeCell ref="C15:C17"/>
    <mergeCell ref="D15:D17"/>
    <mergeCell ref="A18:A20"/>
    <mergeCell ref="B18:B20"/>
    <mergeCell ref="C18:C20"/>
    <mergeCell ref="D18:D20"/>
    <mergeCell ref="A21:A23"/>
    <mergeCell ref="B21:B23"/>
    <mergeCell ref="C21:C23"/>
    <mergeCell ref="D21:D23"/>
    <mergeCell ref="A24:A26"/>
    <mergeCell ref="B24:B26"/>
    <mergeCell ref="C24:C26"/>
    <mergeCell ref="D24:D26"/>
    <mergeCell ref="A27:A28"/>
    <mergeCell ref="B27:B28"/>
    <mergeCell ref="C27:C28"/>
    <mergeCell ref="D27:D28"/>
    <mergeCell ref="A29:A31"/>
    <mergeCell ref="B29:B31"/>
    <mergeCell ref="C29:C31"/>
    <mergeCell ref="D29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8"/>
    <mergeCell ref="B36:B38"/>
    <mergeCell ref="C36:C38"/>
    <mergeCell ref="D36:D38"/>
    <mergeCell ref="A39:A41"/>
    <mergeCell ref="B39:B41"/>
    <mergeCell ref="C39:C41"/>
    <mergeCell ref="D39:D41"/>
    <mergeCell ref="A42:A43"/>
    <mergeCell ref="B42:B43"/>
    <mergeCell ref="C42:C43"/>
    <mergeCell ref="D42:D43"/>
    <mergeCell ref="A44:A46"/>
    <mergeCell ref="B44:B46"/>
    <mergeCell ref="C44:C46"/>
    <mergeCell ref="D44:D46"/>
    <mergeCell ref="A47:A48"/>
    <mergeCell ref="B47:B48"/>
    <mergeCell ref="C47:C48"/>
    <mergeCell ref="D47:D48"/>
    <mergeCell ref="A54:E54"/>
    <mergeCell ref="A55:E55"/>
    <mergeCell ref="A49:A50"/>
    <mergeCell ref="B49:B50"/>
    <mergeCell ref="C49:C50"/>
    <mergeCell ref="D49:D50"/>
    <mergeCell ref="A51:C52"/>
    <mergeCell ref="D51:D52"/>
  </mergeCells>
  <dataValidations count="17">
    <dataValidation type="list" allowBlank="1" showInputMessage="1" showErrorMessage="1" sqref="C7:C9">
      <formula1>$G$7:$G$9</formula1>
    </dataValidation>
    <dataValidation type="list" allowBlank="1" showInputMessage="1" showErrorMessage="1" sqref="C10:C11">
      <formula1>"Академические задолжности отсутствуют, Имеются академические задолжности в учебной группе или у КУГ"</formula1>
    </dataValidation>
    <dataValidation type="list" allowBlank="1" showInputMessage="1" showErrorMessage="1" sqref="C12:C14">
      <formula1>"В подразделении и у КУГ отсутствуют текущие задолжности,Имеются менее 20% текущих задолжностей в подразделении или у КУГ,Имеются более 20% текущих задолжностей в подразделении или у КУГ"</formula1>
    </dataValidation>
    <dataValidation type="list" allowBlank="1" showInputMessage="1" showErrorMessage="1" sqref="C15:C17">
      <formula1>$L$15:$L$17</formula1>
    </dataValidation>
    <dataValidation type="list" allowBlank="1" showInputMessage="1" showErrorMessage="1" sqref="C21:C23">
      <formula1>"Замечания в подразделении и у КУГ отсутствуют,В подразделении 2 замечания у КУГ отсутствуют,В подразделении 3 и более замечаний или замечания у КУГ"</formula1>
    </dataValidation>
    <dataValidation type="list" allowBlank="1" showInputMessage="1" showErrorMessage="1" sqref="C24:C26">
      <formula1>"ПРО, ПРЕ, ГДП в подразделении и КУГ отсутствуют, ПРО, ПРЕ отсутствуют, имеются не снятые взыскания за ГДП в подразделении, у КУГ отсутствуют, Совершено ПРО, ПРЕ, ГДП в подразделении или КУГ или допущено сокрытие"</formula1>
    </dataValidation>
    <dataValidation type="list" allowBlank="1" showInputMessage="1" showErrorMessage="1" sqref="C27:C28">
      <formula1>"Дисциплинарная практика к подчиненному личному составу ведется,Дисциплинарная практика к подчиненному личному составу не реализуется или КУГ имеет дисциплинарные взыскания"</formula1>
    </dataValidation>
    <dataValidation type="list" allowBlank="1" showInputMessage="1" showErrorMessage="1" sqref="C29:C31">
      <formula1>"Обстановкой владеет, доклады представляет, книжка сержантов актуальна,Обстановкой владеет, доклады представляет, книжка сержантов не актуальна,Обстановкой не владеет, доклады не представляет, книжка сержантов не актуальна"</formula1>
    </dataValidation>
    <dataValidation type="list" allowBlank="1" showInputMessage="1" showErrorMessage="1" sqref="C32:C33">
      <formula1>"Подведение итогов актуально, поставлены конкретные задачи и проводится в установленное время,Подведение итогов не актуально, не поставлены задачи или не проводится"</formula1>
    </dataValidation>
    <dataValidation type="list" allowBlank="1" showInputMessage="1" showErrorMessage="1" sqref="C34:C35">
      <formula1>"Увольнения распределены равномерно,Увольнения распределяются не равномерно"</formula1>
    </dataValidation>
    <dataValidation type="list" allowBlank="1" showInputMessage="1" showErrorMessage="1" sqref="C36:C38">
      <formula1>"Наряды и уборщики распределены равномерно,Наряды распределены равномерно, уборщики не равномерно,Наряды и уборщики распределены не равномерно"</formula1>
    </dataValidation>
    <dataValidation type="list" allowBlank="1" showInputMessage="1" showErrorMessage="1" sqref="C39:C41">
      <formula1>"Замечания у подчиненного л/с отсутствуют, КУГ оценен не ниже «хорошо»,Выявлено не более 2 замечаний у подчиненного л/с, КУГ оценен не ниже «хорошо»,Л/с отстранен или выявлено более 2 замечаний, КУГ оценен ниже «хорошо»,"</formula1>
    </dataValidation>
    <dataValidation type="list" allowBlank="1" showInputMessage="1" showErrorMessage="1" sqref="C42:C43">
      <formula1>"Нарушений ТБ, приведших к травматизму л/с нет,Есть нарушения ТБ, приведших к травматизму л/с"</formula1>
    </dataValidation>
    <dataValidation type="list" allowBlank="1" showInputMessage="1" showErrorMessage="1" sqref="C44:C46">
      <formula1>"Элементы распорядка дня соблюдаются,Не более пяти нарушений распорядка дня, срывов мероприятий не допущено,Более пяти нарушений элементов распорядка дня или мероприятие сорвано"</formula1>
    </dataValidation>
    <dataValidation type="list" allowBlank="1" showInputMessage="1" showErrorMessage="1" sqref="C47:C48">
      <formula1>"Материальные средства подразделения в наличии, исправны, обслужены, хранятся правильно,Не выполнены предъявляемые критерии "</formula1>
    </dataValidation>
    <dataValidation type="list" allowBlank="1" showInputMessage="1" showErrorMessage="1" sqref="C49:C50">
      <formula1>"Оценка по физической подготовке (культуре) - 5,Оценка по физической подготовке (культуре) - 4"</formula1>
    </dataValidation>
    <dataValidation type="list" allowBlank="1" showInputMessage="1" showErrorMessage="1" sqref="C18:C20">
      <formula1>$L$18:$L$20</formula1>
    </dataValidation>
  </dataValidations>
  <pageMargins left="0.7" right="0.7" top="0.75" bottom="0.75" header="0.3" footer="0.3"/>
  <pageSetup paperSize="9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>
  <sheetPr>
    <tabColor theme="1"/>
  </sheetPr>
  <dimension ref="A1:U46"/>
  <sheetViews>
    <sheetView topLeftCell="A19" zoomScale="70" zoomScaleNormal="70" workbookViewId="0">
      <selection activeCell="C38" sqref="C38:C39"/>
    </sheetView>
  </sheetViews>
  <sheetFormatPr defaultRowHeight="15"/>
  <cols>
    <col min="2" max="2" width="26" customWidth="1"/>
    <col min="3" max="3" width="58.5703125" customWidth="1"/>
    <col min="4" max="4" width="28.42578125" customWidth="1"/>
    <col min="5" max="5" width="24.140625" hidden="1" customWidth="1"/>
    <col min="6" max="6" width="24" hidden="1" customWidth="1"/>
    <col min="7" max="7" width="1.85546875" hidden="1" customWidth="1"/>
    <col min="8" max="8" width="18.42578125" customWidth="1"/>
  </cols>
  <sheetData>
    <row r="1" spans="1:21" ht="20.25">
      <c r="A1" s="56" t="s">
        <v>0</v>
      </c>
      <c r="B1" s="56"/>
      <c r="C1" s="56"/>
      <c r="D1" s="56"/>
      <c r="E1" s="56"/>
    </row>
    <row r="2" spans="1:21" ht="18.75">
      <c r="A2" s="57" t="s">
        <v>1</v>
      </c>
      <c r="B2" s="57"/>
      <c r="C2" s="57"/>
      <c r="D2" s="57"/>
      <c r="E2" s="57"/>
    </row>
    <row r="3" spans="1:21" ht="18.75" customHeight="1">
      <c r="A3" s="70" t="s">
        <v>305</v>
      </c>
      <c r="B3" s="71"/>
      <c r="C3" s="71"/>
      <c r="D3" s="71"/>
      <c r="E3" s="71"/>
    </row>
    <row r="4" spans="1:21" ht="16.5" thickBot="1">
      <c r="A4" s="59"/>
      <c r="B4" s="59"/>
      <c r="C4" s="59"/>
      <c r="D4" s="59"/>
      <c r="E4" s="59"/>
    </row>
    <row r="5" spans="1:21" ht="15.75">
      <c r="A5" s="2" t="s">
        <v>3</v>
      </c>
      <c r="B5" s="60" t="s">
        <v>54</v>
      </c>
      <c r="C5" s="60" t="s">
        <v>55</v>
      </c>
      <c r="D5" s="60" t="s">
        <v>42</v>
      </c>
    </row>
    <row r="6" spans="1:21" ht="16.5" thickBot="1">
      <c r="A6" s="4" t="s">
        <v>4</v>
      </c>
      <c r="B6" s="61"/>
      <c r="C6" s="61"/>
      <c r="D6" s="61"/>
    </row>
    <row r="7" spans="1:21" ht="13.5" customHeight="1">
      <c r="A7" s="39" t="s">
        <v>5</v>
      </c>
      <c r="B7" s="44" t="s">
        <v>6</v>
      </c>
      <c r="C7" s="44" t="s">
        <v>83</v>
      </c>
      <c r="D7" s="44">
        <f>IF(IFERROR(SEARCH("подразделения ≥ 4,5", C7), 0) &gt; 0, 5, IF(IFERROR(SEARCH("подразделения ≥ 4,0", C7), 0) &gt; 0, 3, IF(IFERROR(SEARCH("&lt;", C7), 0) &gt; 0, 0,)))</f>
        <v>3</v>
      </c>
      <c r="F7">
        <v>5</v>
      </c>
      <c r="G7" s="16" t="s">
        <v>82</v>
      </c>
      <c r="N7" s="15"/>
      <c r="U7" s="15"/>
    </row>
    <row r="8" spans="1:21" ht="20.25" customHeight="1">
      <c r="A8" s="51"/>
      <c r="B8" s="54"/>
      <c r="C8" s="52"/>
      <c r="D8" s="52"/>
      <c r="F8">
        <v>3</v>
      </c>
      <c r="G8" s="17" t="s">
        <v>83</v>
      </c>
      <c r="N8" s="13"/>
      <c r="U8" s="13"/>
    </row>
    <row r="9" spans="1:21" ht="18" customHeight="1" thickBot="1">
      <c r="A9" s="40"/>
      <c r="B9" s="55"/>
      <c r="C9" s="45"/>
      <c r="D9" s="45"/>
      <c r="F9">
        <v>0</v>
      </c>
      <c r="G9" s="18" t="s">
        <v>84</v>
      </c>
    </row>
    <row r="10" spans="1:21">
      <c r="A10" s="39" t="s">
        <v>7</v>
      </c>
      <c r="B10" s="44" t="s">
        <v>8</v>
      </c>
      <c r="C10" s="44" t="s">
        <v>85</v>
      </c>
      <c r="D10" s="44">
        <f>IF(IFERROR(SEARCH("отсутствуют", C10), 0) &gt; 0, 10, IF(IFERROR(SEARCH("имеются", C10), 0) &gt; 0, 0, ))</f>
        <v>10</v>
      </c>
      <c r="F10">
        <v>10</v>
      </c>
      <c r="G10" t="s">
        <v>85</v>
      </c>
    </row>
    <row r="11" spans="1:21" ht="24.75" customHeight="1" thickBot="1">
      <c r="A11" s="40"/>
      <c r="B11" s="45"/>
      <c r="C11" s="45"/>
      <c r="D11" s="45"/>
      <c r="F11">
        <v>0</v>
      </c>
      <c r="G11" s="13" t="s">
        <v>86</v>
      </c>
    </row>
    <row r="12" spans="1:21" ht="18" customHeight="1" thickBot="1">
      <c r="A12" s="39" t="s">
        <v>9</v>
      </c>
      <c r="B12" s="44" t="s">
        <v>10</v>
      </c>
      <c r="C12" s="44" t="s">
        <v>87</v>
      </c>
      <c r="D12" s="44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>5</v>
      </c>
      <c r="F12">
        <v>5</v>
      </c>
      <c r="G12" s="14" t="s">
        <v>87</v>
      </c>
    </row>
    <row r="13" spans="1:21" ht="15.75">
      <c r="A13" s="51"/>
      <c r="B13" s="52"/>
      <c r="C13" s="52"/>
      <c r="D13" s="52"/>
      <c r="F13">
        <v>3</v>
      </c>
      <c r="G13" s="13" t="s">
        <v>88</v>
      </c>
    </row>
    <row r="14" spans="1:21" ht="16.5" thickBot="1">
      <c r="A14" s="40"/>
      <c r="B14" s="45"/>
      <c r="C14" s="45"/>
      <c r="D14" s="45"/>
      <c r="F14">
        <v>0</v>
      </c>
      <c r="G14" s="13" t="s">
        <v>89</v>
      </c>
    </row>
    <row r="15" spans="1:21" ht="15.75">
      <c r="A15" s="39" t="s">
        <v>11</v>
      </c>
      <c r="B15" s="44" t="s">
        <v>12</v>
      </c>
      <c r="C15" s="41" t="s">
        <v>91</v>
      </c>
      <c r="D15" s="44">
        <f>IF(IFERROR(SEARCH("Отсутствуют", C15), 0) &gt; 0, 5, IF(IFERROR(SEARCH("Наличие одного", C15), 0) &gt; 0, 3, IF(IFERROR(SEARCH("Наличие двух", C15), 0) &gt; 0, 0,)))</f>
        <v>3</v>
      </c>
      <c r="F15">
        <v>5</v>
      </c>
      <c r="G15" s="19" t="s">
        <v>90</v>
      </c>
    </row>
    <row r="16" spans="1:21" ht="15.75">
      <c r="A16" s="51"/>
      <c r="B16" s="52"/>
      <c r="C16" s="53"/>
      <c r="D16" s="52"/>
      <c r="F16">
        <v>3</v>
      </c>
      <c r="G16" s="13" t="s">
        <v>91</v>
      </c>
    </row>
    <row r="17" spans="1:7" ht="92.25" customHeight="1" thickBot="1">
      <c r="A17" s="40"/>
      <c r="B17" s="45"/>
      <c r="C17" s="43"/>
      <c r="D17" s="45"/>
      <c r="F17">
        <v>0</v>
      </c>
      <c r="G17" s="13" t="s">
        <v>92</v>
      </c>
    </row>
    <row r="18" spans="1:7" ht="15" customHeight="1" thickBot="1">
      <c r="A18" s="39" t="s">
        <v>13</v>
      </c>
      <c r="B18" s="44" t="s">
        <v>14</v>
      </c>
      <c r="C18" s="41" t="s">
        <v>93</v>
      </c>
      <c r="D18" s="44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>10</v>
      </c>
      <c r="F18">
        <v>10</v>
      </c>
      <c r="G18" s="13" t="s">
        <v>93</v>
      </c>
    </row>
    <row r="19" spans="1:7" ht="15" customHeight="1" thickBot="1">
      <c r="A19" s="51"/>
      <c r="B19" s="52"/>
      <c r="C19" s="53"/>
      <c r="D19" s="52"/>
      <c r="F19">
        <v>2</v>
      </c>
      <c r="G19" s="14" t="s">
        <v>94</v>
      </c>
    </row>
    <row r="20" spans="1:7" ht="57" customHeight="1" thickBot="1">
      <c r="A20" s="40"/>
      <c r="B20" s="45"/>
      <c r="C20" s="43"/>
      <c r="D20" s="45"/>
      <c r="F20">
        <v>0</v>
      </c>
      <c r="G20" s="13" t="s">
        <v>95</v>
      </c>
    </row>
    <row r="21" spans="1:7" ht="15.75">
      <c r="A21" s="39" t="s">
        <v>15</v>
      </c>
      <c r="B21" s="44" t="s">
        <v>16</v>
      </c>
      <c r="C21" s="41" t="s">
        <v>96</v>
      </c>
      <c r="D21" s="44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>5</v>
      </c>
      <c r="F21">
        <v>5</v>
      </c>
      <c r="G21" s="13" t="s">
        <v>96</v>
      </c>
    </row>
    <row r="22" spans="1:7" ht="42.75" customHeight="1" thickBot="1">
      <c r="A22" s="40"/>
      <c r="B22" s="45"/>
      <c r="C22" s="43"/>
      <c r="D22" s="45"/>
      <c r="F22">
        <v>0</v>
      </c>
      <c r="G22" s="13" t="s">
        <v>97</v>
      </c>
    </row>
    <row r="23" spans="1:7" ht="15.75">
      <c r="A23" s="39" t="s">
        <v>17</v>
      </c>
      <c r="B23" s="44" t="s">
        <v>18</v>
      </c>
      <c r="C23" s="41" t="s">
        <v>19</v>
      </c>
      <c r="D23" s="44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>10</v>
      </c>
      <c r="F23">
        <v>10</v>
      </c>
      <c r="G23" s="13" t="s">
        <v>19</v>
      </c>
    </row>
    <row r="24" spans="1:7" ht="15.75">
      <c r="A24" s="51"/>
      <c r="B24" s="52"/>
      <c r="C24" s="53"/>
      <c r="D24" s="52"/>
      <c r="F24">
        <v>5</v>
      </c>
      <c r="G24" s="13" t="s">
        <v>98</v>
      </c>
    </row>
    <row r="25" spans="1:7" ht="82.5" customHeight="1" thickBot="1">
      <c r="A25" s="40"/>
      <c r="B25" s="45"/>
      <c r="C25" s="43"/>
      <c r="D25" s="45"/>
      <c r="F25">
        <v>0</v>
      </c>
      <c r="G25" s="13" t="s">
        <v>99</v>
      </c>
    </row>
    <row r="26" spans="1:7" ht="15.75">
      <c r="A26" s="39" t="s">
        <v>20</v>
      </c>
      <c r="B26" s="44" t="s">
        <v>21</v>
      </c>
      <c r="C26" s="41" t="s">
        <v>22</v>
      </c>
      <c r="D26" s="44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>3</v>
      </c>
      <c r="F26">
        <v>3</v>
      </c>
      <c r="G26" s="13" t="s">
        <v>22</v>
      </c>
    </row>
    <row r="27" spans="1:7" ht="41.25" customHeight="1" thickBot="1">
      <c r="A27" s="40"/>
      <c r="B27" s="45"/>
      <c r="C27" s="43"/>
      <c r="D27" s="45"/>
      <c r="F27">
        <v>0</v>
      </c>
      <c r="G27" s="13" t="s">
        <v>100</v>
      </c>
    </row>
    <row r="28" spans="1:7" ht="15.75">
      <c r="A28" s="39" t="s">
        <v>23</v>
      </c>
      <c r="B28" s="44" t="s">
        <v>24</v>
      </c>
      <c r="C28" s="41" t="s">
        <v>102</v>
      </c>
      <c r="D28" s="44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>3</v>
      </c>
      <c r="F28">
        <v>5</v>
      </c>
      <c r="G28" s="13" t="s">
        <v>101</v>
      </c>
    </row>
    <row r="29" spans="1:7" ht="15.75">
      <c r="A29" s="51"/>
      <c r="B29" s="52"/>
      <c r="C29" s="53"/>
      <c r="D29" s="52"/>
      <c r="F29">
        <v>3</v>
      </c>
      <c r="G29" s="13" t="s">
        <v>102</v>
      </c>
    </row>
    <row r="30" spans="1:7" ht="61.5" customHeight="1" thickBot="1">
      <c r="A30" s="40"/>
      <c r="B30" s="45"/>
      <c r="C30" s="43"/>
      <c r="D30" s="45"/>
      <c r="F30">
        <v>0</v>
      </c>
      <c r="G30" s="13" t="s">
        <v>103</v>
      </c>
    </row>
    <row r="31" spans="1:7" ht="15.75">
      <c r="A31" s="39" t="s">
        <v>25</v>
      </c>
      <c r="B31" s="44" t="s">
        <v>26</v>
      </c>
      <c r="C31" s="41" t="s">
        <v>104</v>
      </c>
      <c r="D31" s="44">
        <f>IF(IFERROR(SEARCH("Отсутствуют нарушения ТБ", C31), 0) &gt; 0, 10, IF(IFERROR(SEARCH("Имелись нарушения ТБ", C31), 0) &gt; 0, 0, ))</f>
        <v>10</v>
      </c>
      <c r="F31">
        <v>10</v>
      </c>
      <c r="G31" s="13" t="s">
        <v>104</v>
      </c>
    </row>
    <row r="32" spans="1:7" ht="33.75" customHeight="1" thickBot="1">
      <c r="A32" s="40"/>
      <c r="B32" s="45"/>
      <c r="C32" s="43"/>
      <c r="D32" s="45"/>
      <c r="F32">
        <v>0</v>
      </c>
      <c r="G32" s="13" t="s">
        <v>105</v>
      </c>
    </row>
    <row r="33" spans="1:7" ht="15.75">
      <c r="A33" s="39" t="s">
        <v>27</v>
      </c>
      <c r="B33" s="44" t="s">
        <v>28</v>
      </c>
      <c r="C33" s="41" t="s">
        <v>52</v>
      </c>
      <c r="D33" s="44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>10</v>
      </c>
      <c r="F33">
        <v>10</v>
      </c>
      <c r="G33" s="13" t="s">
        <v>52</v>
      </c>
    </row>
    <row r="34" spans="1:7" ht="15.75">
      <c r="A34" s="51"/>
      <c r="B34" s="52"/>
      <c r="C34" s="53"/>
      <c r="D34" s="52"/>
      <c r="F34">
        <v>5</v>
      </c>
      <c r="G34" s="13" t="s">
        <v>106</v>
      </c>
    </row>
    <row r="35" spans="1:7" ht="18" customHeight="1" thickBot="1">
      <c r="A35" s="40"/>
      <c r="B35" s="45"/>
      <c r="C35" s="43"/>
      <c r="D35" s="45"/>
      <c r="F35">
        <v>0</v>
      </c>
      <c r="G35" s="13" t="s">
        <v>107</v>
      </c>
    </row>
    <row r="36" spans="1:7" ht="15.75">
      <c r="A36" s="39" t="s">
        <v>29</v>
      </c>
      <c r="B36" s="44" t="s">
        <v>30</v>
      </c>
      <c r="C36" s="41" t="s">
        <v>31</v>
      </c>
      <c r="D36" s="44">
        <f>IF(IFERROR(SEARCH("Материальные средства ", C36), 0) &gt; 0, 5, IF(IFERROR(SEARCH("Не выполнены ", C36), 0) &gt; 0, 0, ))</f>
        <v>5</v>
      </c>
      <c r="F36">
        <v>5</v>
      </c>
      <c r="G36" s="13" t="s">
        <v>31</v>
      </c>
    </row>
    <row r="37" spans="1:7" ht="45" customHeight="1" thickBot="1">
      <c r="A37" s="40"/>
      <c r="B37" s="45"/>
      <c r="C37" s="43"/>
      <c r="D37" s="45"/>
      <c r="F37">
        <v>0</v>
      </c>
      <c r="G37" s="13" t="s">
        <v>110</v>
      </c>
    </row>
    <row r="38" spans="1:7" ht="15.75">
      <c r="A38" s="39" t="s">
        <v>32</v>
      </c>
      <c r="B38" s="44" t="s">
        <v>33</v>
      </c>
      <c r="C38" s="41" t="s">
        <v>109</v>
      </c>
      <c r="D38" s="44">
        <f>IF(IFERROR(SEARCH("5", C38), 0) &gt; 0, 2, IF(IFERROR(SEARCH("4", C38), 0) &gt; 0, 1, ))</f>
        <v>1</v>
      </c>
      <c r="F38">
        <v>2</v>
      </c>
      <c r="G38" s="13" t="s">
        <v>108</v>
      </c>
    </row>
    <row r="39" spans="1:7" ht="103.5" customHeight="1" thickBot="1">
      <c r="A39" s="40"/>
      <c r="B39" s="45"/>
      <c r="C39" s="43"/>
      <c r="D39" s="45"/>
      <c r="F39">
        <v>1</v>
      </c>
      <c r="G39" s="13" t="s">
        <v>109</v>
      </c>
    </row>
    <row r="40" spans="1:7">
      <c r="A40" s="46" t="s">
        <v>34</v>
      </c>
      <c r="B40" s="47"/>
      <c r="C40" s="66"/>
      <c r="D40" s="68">
        <f>SUM(D7:D39)</f>
        <v>78</v>
      </c>
      <c r="E40" s="65"/>
    </row>
    <row r="41" spans="1:7" ht="15.75" thickBot="1">
      <c r="A41" s="48"/>
      <c r="B41" s="49"/>
      <c r="C41" s="67"/>
      <c r="D41" s="69"/>
      <c r="E41" s="65"/>
    </row>
    <row r="43" spans="1:7" ht="20.25">
      <c r="A43" s="37" t="s">
        <v>35</v>
      </c>
      <c r="B43" s="37"/>
      <c r="C43" s="37"/>
      <c r="D43" s="5"/>
      <c r="E43" s="5"/>
    </row>
    <row r="44" spans="1:7" ht="20.25">
      <c r="A44" s="37"/>
      <c r="B44" s="37"/>
      <c r="C44" s="37"/>
      <c r="D44" s="6"/>
      <c r="E44" s="6"/>
    </row>
    <row r="45" spans="1:7" ht="20.25">
      <c r="A45" s="5"/>
      <c r="B45" s="5"/>
      <c r="C45" s="5" t="s">
        <v>36</v>
      </c>
      <c r="D45" s="5"/>
      <c r="E45" s="5"/>
    </row>
    <row r="46" spans="1:7" ht="20.25">
      <c r="A46" s="5"/>
      <c r="B46" s="5"/>
      <c r="C46" s="5" t="s">
        <v>307</v>
      </c>
    </row>
  </sheetData>
  <mergeCells count="63">
    <mergeCell ref="A1:E1"/>
    <mergeCell ref="A2:E2"/>
    <mergeCell ref="A3:E3"/>
    <mergeCell ref="A4:E4"/>
    <mergeCell ref="B5:B6"/>
    <mergeCell ref="C5:C6"/>
    <mergeCell ref="D5:D6"/>
    <mergeCell ref="A7:A9"/>
    <mergeCell ref="B7:B9"/>
    <mergeCell ref="C7:C9"/>
    <mergeCell ref="D7:D9"/>
    <mergeCell ref="A10:A11"/>
    <mergeCell ref="B10:B11"/>
    <mergeCell ref="C10:C11"/>
    <mergeCell ref="D10:D11"/>
    <mergeCell ref="A12:A14"/>
    <mergeCell ref="B12:B14"/>
    <mergeCell ref="C12:C14"/>
    <mergeCell ref="D12:D14"/>
    <mergeCell ref="A15:A17"/>
    <mergeCell ref="B15:B17"/>
    <mergeCell ref="C15:C17"/>
    <mergeCell ref="D15:D17"/>
    <mergeCell ref="A18:A20"/>
    <mergeCell ref="B18:B20"/>
    <mergeCell ref="C18:C20"/>
    <mergeCell ref="D18:D20"/>
    <mergeCell ref="A21:A22"/>
    <mergeCell ref="B21:B22"/>
    <mergeCell ref="C21:C22"/>
    <mergeCell ref="D21:D22"/>
    <mergeCell ref="A23:A25"/>
    <mergeCell ref="B23:B25"/>
    <mergeCell ref="C23:C25"/>
    <mergeCell ref="D23:D25"/>
    <mergeCell ref="A26:A27"/>
    <mergeCell ref="B26:B27"/>
    <mergeCell ref="C26:C27"/>
    <mergeCell ref="D26:D27"/>
    <mergeCell ref="A28:A30"/>
    <mergeCell ref="B28:B30"/>
    <mergeCell ref="C28:C30"/>
    <mergeCell ref="D28:D30"/>
    <mergeCell ref="A31:A32"/>
    <mergeCell ref="B31:B32"/>
    <mergeCell ref="C31:C32"/>
    <mergeCell ref="D31:D32"/>
    <mergeCell ref="A33:A35"/>
    <mergeCell ref="B33:B35"/>
    <mergeCell ref="C33:C35"/>
    <mergeCell ref="D33:D35"/>
    <mergeCell ref="A36:A37"/>
    <mergeCell ref="B36:B37"/>
    <mergeCell ref="C36:C37"/>
    <mergeCell ref="D36:D37"/>
    <mergeCell ref="E40:E41"/>
    <mergeCell ref="A43:C44"/>
    <mergeCell ref="A38:A39"/>
    <mergeCell ref="B38:B39"/>
    <mergeCell ref="C38:C39"/>
    <mergeCell ref="D38:D39"/>
    <mergeCell ref="A40:C41"/>
    <mergeCell ref="D40:D41"/>
  </mergeCells>
  <dataValidations count="13">
    <dataValidation type="list" allowBlank="1" showInputMessage="1" showErrorMessage="1" sqref="C38:C39">
      <formula1>$G$38:$G$39</formula1>
    </dataValidation>
    <dataValidation type="list" allowBlank="1" showInputMessage="1" showErrorMessage="1" sqref="C36:C37">
      <formula1>$G$36:$G$37</formula1>
    </dataValidation>
    <dataValidation type="list" allowBlank="1" showInputMessage="1" showErrorMessage="1" sqref="C33:C35">
      <formula1>$G$33:$G$35</formula1>
    </dataValidation>
    <dataValidation type="list" allowBlank="1" showInputMessage="1" showErrorMessage="1" sqref="C31:C32">
      <formula1>$G$31:$G$32</formula1>
    </dataValidation>
    <dataValidation type="list" allowBlank="1" showInputMessage="1" showErrorMessage="1" sqref="C28:C30">
      <formula1>$G$28:$G$30</formula1>
    </dataValidation>
    <dataValidation type="list" allowBlank="1" showInputMessage="1" showErrorMessage="1" sqref="C26:C27">
      <formula1>$G$26:$G$27</formula1>
    </dataValidation>
    <dataValidation type="list" allowBlank="1" showInputMessage="1" showErrorMessage="1" sqref="C23:C25">
      <formula1>$G$23:$G$25</formula1>
    </dataValidation>
    <dataValidation type="list" allowBlank="1" showInputMessage="1" showErrorMessage="1" sqref="C21:C22">
      <formula1>$G$21:$G$22</formula1>
    </dataValidation>
    <dataValidation type="list" allowBlank="1" showInputMessage="1" showErrorMessage="1" sqref="C18:C20">
      <formula1>$G$18:$G$20</formula1>
    </dataValidation>
    <dataValidation type="list" allowBlank="1" showInputMessage="1" showErrorMessage="1" sqref="C15:C17">
      <formula1>$G$15:$G$17</formula1>
    </dataValidation>
    <dataValidation type="list" allowBlank="1" showInputMessage="1" showErrorMessage="1" sqref="C12:C14">
      <formula1>$G$12:$G$14</formula1>
    </dataValidation>
    <dataValidation type="list" allowBlank="1" showInputMessage="1" showErrorMessage="1" sqref="C10:C11">
      <formula1>$G$10:$G$11</formula1>
    </dataValidation>
    <dataValidation type="list" allowBlank="1" showInputMessage="1" showErrorMessage="1" sqref="C7:C9">
      <formula1>$G$7:$G$9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sheetPr>
    <tabColor rgb="FFFFFF00"/>
  </sheetPr>
  <dimension ref="A1:G51"/>
  <sheetViews>
    <sheetView zoomScale="70" zoomScaleNormal="70" workbookViewId="0">
      <selection activeCell="C7" sqref="C7:C9"/>
    </sheetView>
  </sheetViews>
  <sheetFormatPr defaultRowHeight="15"/>
  <cols>
    <col min="2" max="2" width="26" customWidth="1"/>
    <col min="3" max="3" width="58.5703125" customWidth="1"/>
    <col min="4" max="4" width="31.5703125" customWidth="1"/>
    <col min="5" max="5" width="33.85546875" hidden="1" customWidth="1"/>
    <col min="6" max="7" width="31.5703125" hidden="1" customWidth="1"/>
  </cols>
  <sheetData>
    <row r="1" spans="1:5" ht="20.25">
      <c r="A1" s="56" t="s">
        <v>0</v>
      </c>
      <c r="B1" s="56"/>
      <c r="C1" s="56"/>
      <c r="D1" s="56"/>
      <c r="E1" s="11"/>
    </row>
    <row r="2" spans="1:5" ht="18.75">
      <c r="A2" s="57" t="s">
        <v>1</v>
      </c>
      <c r="B2" s="57"/>
      <c r="C2" s="57"/>
      <c r="D2" s="57"/>
      <c r="E2" s="12"/>
    </row>
    <row r="3" spans="1:5" ht="18.75" customHeight="1">
      <c r="A3" s="58" t="s">
        <v>292</v>
      </c>
      <c r="B3" s="57"/>
      <c r="C3" s="57"/>
      <c r="D3" s="57"/>
      <c r="E3" s="57"/>
    </row>
    <row r="4" spans="1:5" ht="16.5" thickBot="1">
      <c r="A4" s="59"/>
      <c r="B4" s="59"/>
      <c r="C4" s="59"/>
      <c r="D4" s="59"/>
      <c r="E4" s="59"/>
    </row>
    <row r="5" spans="1:5" ht="15.75">
      <c r="A5" s="2" t="s">
        <v>3</v>
      </c>
      <c r="B5" s="60" t="s">
        <v>54</v>
      </c>
      <c r="C5" s="60" t="s">
        <v>55</v>
      </c>
      <c r="D5" s="60" t="s">
        <v>42</v>
      </c>
    </row>
    <row r="6" spans="1:5" ht="16.5" thickBot="1">
      <c r="A6" s="4" t="s">
        <v>4</v>
      </c>
      <c r="B6" s="61"/>
      <c r="C6" s="61"/>
      <c r="D6" s="61"/>
    </row>
    <row r="7" spans="1:5" ht="16.5" customHeight="1">
      <c r="A7" s="39" t="s">
        <v>5</v>
      </c>
      <c r="B7" s="44" t="s">
        <v>6</v>
      </c>
      <c r="C7" s="44" t="s">
        <v>348</v>
      </c>
      <c r="D7" s="44">
        <f>IF(IFERROR(SEARCH("подразделения ≥ 4,5", C7), 0) &gt; 0, 5, IF(IFERROR(SEARCH("подразделения ≥ 4,0", C7), 0) &gt; 0, 3, IF(IFERROR(SEARCH("&lt;", C7), 0) &gt; 0, 0,)))</f>
        <v>0</v>
      </c>
      <c r="E7" s="16" t="s">
        <v>346</v>
      </c>
    </row>
    <row r="8" spans="1:5" ht="14.25" customHeight="1">
      <c r="A8" s="51"/>
      <c r="B8" s="54"/>
      <c r="C8" s="52"/>
      <c r="D8" s="52"/>
      <c r="E8" s="17" t="s">
        <v>347</v>
      </c>
    </row>
    <row r="9" spans="1:5" ht="18" customHeight="1" thickBot="1">
      <c r="A9" s="40"/>
      <c r="B9" s="55"/>
      <c r="C9" s="45"/>
      <c r="D9" s="45"/>
      <c r="E9" s="18" t="s">
        <v>348</v>
      </c>
    </row>
    <row r="10" spans="1:5">
      <c r="A10" s="39" t="s">
        <v>7</v>
      </c>
      <c r="B10" s="44" t="s">
        <v>8</v>
      </c>
      <c r="C10" s="41" t="s">
        <v>332</v>
      </c>
      <c r="D10" s="44">
        <f>IF(C10="В подразделении и у старшины курса отсутствуют академические задолжности",10,0)</f>
        <v>0</v>
      </c>
    </row>
    <row r="11" spans="1:5" ht="26.25" customHeight="1" thickBot="1">
      <c r="A11" s="40"/>
      <c r="B11" s="45"/>
      <c r="C11" s="43"/>
      <c r="D11" s="45"/>
    </row>
    <row r="12" spans="1:5">
      <c r="A12" s="39" t="s">
        <v>9</v>
      </c>
      <c r="B12" s="44" t="s">
        <v>10</v>
      </c>
      <c r="C12" s="41" t="s">
        <v>333</v>
      </c>
      <c r="D12" s="44">
        <f>IF(C12="Текущие задолжности в подразделении и старшины курса отсутствуют",5,IF(C12="Имеются менее 10% задолжностей в подразделении или у старшины курса",3,IF(C12="Имеютя более 10% задолжностей в подразделении или старшины курса",0,)))</f>
        <v>5</v>
      </c>
    </row>
    <row r="13" spans="1:5">
      <c r="A13" s="51"/>
      <c r="B13" s="52"/>
      <c r="C13" s="53"/>
      <c r="D13" s="52"/>
    </row>
    <row r="14" spans="1:5" ht="30.75" customHeight="1" thickBot="1">
      <c r="A14" s="40"/>
      <c r="B14" s="45"/>
      <c r="C14" s="43"/>
      <c r="D14" s="45"/>
    </row>
    <row r="15" spans="1:5">
      <c r="A15" s="39" t="s">
        <v>11</v>
      </c>
      <c r="B15" s="44" t="s">
        <v>12</v>
      </c>
      <c r="C15" s="41" t="s">
        <v>334</v>
      </c>
      <c r="D15" s="44">
        <f>IF(C15="Замечаний нет",5,0)</f>
        <v>5</v>
      </c>
    </row>
    <row r="16" spans="1:5" ht="15.75" customHeight="1">
      <c r="A16" s="51"/>
      <c r="B16" s="52"/>
      <c r="C16" s="53"/>
      <c r="D16" s="52"/>
    </row>
    <row r="17" spans="1:4" ht="73.5" customHeight="1" thickBot="1">
      <c r="A17" s="40"/>
      <c r="B17" s="45"/>
      <c r="C17" s="43"/>
      <c r="D17" s="45"/>
    </row>
    <row r="18" spans="1:4">
      <c r="A18" s="39" t="s">
        <v>13</v>
      </c>
      <c r="B18" s="44" t="s">
        <v>14</v>
      </c>
      <c r="C18" s="41" t="s">
        <v>56</v>
      </c>
      <c r="D18" s="44">
        <f>IF(C18="ПРО, ПРЕ, ГДП в подразделении и старшины курса отсутствуют",10,IF(C18="ПРО, ПРЕ отсутствуют, имеются не снятые взыскания за ГДП в подразделении, у старшины курса отсутствуют",2,IF(C18="Совершено ПРО, ПРЕ, ГДП в подразделении или старшины курса или допущено сокрытие",0,)))</f>
        <v>10</v>
      </c>
    </row>
    <row r="19" spans="1:4">
      <c r="A19" s="51"/>
      <c r="B19" s="52"/>
      <c r="C19" s="53"/>
      <c r="D19" s="52"/>
    </row>
    <row r="20" spans="1:4" ht="21.75" customHeight="1" thickBot="1">
      <c r="A20" s="40"/>
      <c r="B20" s="45"/>
      <c r="C20" s="43"/>
      <c r="D20" s="45"/>
    </row>
    <row r="21" spans="1:4">
      <c r="A21" s="39" t="s">
        <v>15</v>
      </c>
      <c r="B21" s="44" t="s">
        <v>16</v>
      </c>
      <c r="C21" s="41" t="s">
        <v>57</v>
      </c>
      <c r="D21" s="44">
        <f>IF(C21="Дисциплинарная практика к подчиненному личному составу ведется",5,0)</f>
        <v>5</v>
      </c>
    </row>
    <row r="22" spans="1:4" ht="33.75" customHeight="1" thickBot="1">
      <c r="A22" s="40"/>
      <c r="B22" s="45"/>
      <c r="C22" s="43"/>
      <c r="D22" s="45"/>
    </row>
    <row r="23" spans="1:4">
      <c r="A23" s="39" t="s">
        <v>17</v>
      </c>
      <c r="B23" s="44" t="s">
        <v>18</v>
      </c>
      <c r="C23" s="41" t="s">
        <v>60</v>
      </c>
      <c r="D23" s="44">
        <f>IF(C23="Обстановкой владеет, доклады представляет, книжка сержантов актуальна",10,IF(C23="Обстановкой владеет, доклады представляет, книжка сержантов не актуальна",5,IF(C23="Обстановкой не владеет, доклады не представляет, книжка сержантов не актуальна",0,)))</f>
        <v>10</v>
      </c>
    </row>
    <row r="24" spans="1:4">
      <c r="A24" s="51"/>
      <c r="B24" s="52"/>
      <c r="C24" s="53"/>
      <c r="D24" s="52"/>
    </row>
    <row r="25" spans="1:4" ht="89.25" customHeight="1" thickBot="1">
      <c r="A25" s="40"/>
      <c r="B25" s="45"/>
      <c r="C25" s="43"/>
      <c r="D25" s="45"/>
    </row>
    <row r="26" spans="1:4">
      <c r="A26" s="39" t="s">
        <v>20</v>
      </c>
      <c r="B26" s="44" t="s">
        <v>43</v>
      </c>
      <c r="C26" s="44" t="s">
        <v>69</v>
      </c>
      <c r="D26" s="44">
        <f>IF(C26="Увольнения между учебными группами распределены равномерно",2,0)</f>
        <v>2</v>
      </c>
    </row>
    <row r="27" spans="1:4" ht="15.75" thickBot="1">
      <c r="A27" s="40"/>
      <c r="B27" s="45"/>
      <c r="C27" s="45"/>
      <c r="D27" s="45"/>
    </row>
    <row r="28" spans="1:4">
      <c r="A28" s="39" t="s">
        <v>23</v>
      </c>
      <c r="B28" s="44" t="s">
        <v>44</v>
      </c>
      <c r="C28" s="44" t="s">
        <v>61</v>
      </c>
      <c r="D28" s="44">
        <f>IF(C28="Наряды и уборщики распределены равномерно",2,IF(C28="Наряды распределены равномерно, уборщики не равномерно",1,IF(C28="Наряды и уборщики распределены не равномерно",0,)))</f>
        <v>2</v>
      </c>
    </row>
    <row r="29" spans="1:4">
      <c r="A29" s="51"/>
      <c r="B29" s="52"/>
      <c r="C29" s="52"/>
      <c r="D29" s="52"/>
    </row>
    <row r="30" spans="1:4" ht="41.25" customHeight="1" thickBot="1">
      <c r="A30" s="40"/>
      <c r="B30" s="45"/>
      <c r="C30" s="45"/>
      <c r="D30" s="45"/>
    </row>
    <row r="31" spans="1:4" ht="47.25" customHeight="1">
      <c r="A31" s="39" t="s">
        <v>25</v>
      </c>
      <c r="B31" s="44" t="s">
        <v>51</v>
      </c>
      <c r="C31" s="41" t="s">
        <v>335</v>
      </c>
      <c r="D31" s="44">
        <f>IF(C31="Подготовка проведена, на разводе замечаний нет",5,IF(C31="Подготовка проведена, на разводе более трех замечаний",3,IF(C31="Подготовка не проведена, на разводе более трех замечаний или личный состав не допущен",0,)))</f>
        <v>3</v>
      </c>
    </row>
    <row r="32" spans="1:4">
      <c r="A32" s="51"/>
      <c r="B32" s="52"/>
      <c r="C32" s="53"/>
      <c r="D32" s="52"/>
    </row>
    <row r="33" spans="1:5" ht="7.5" customHeight="1" thickBot="1">
      <c r="A33" s="40"/>
      <c r="B33" s="45"/>
      <c r="C33" s="43"/>
      <c r="D33" s="45"/>
    </row>
    <row r="34" spans="1:5">
      <c r="A34" s="39" t="s">
        <v>27</v>
      </c>
      <c r="B34" s="44" t="s">
        <v>24</v>
      </c>
      <c r="C34" s="41" t="s">
        <v>64</v>
      </c>
      <c r="D34" s="44">
        <f>IF(C34="Замечаний нет, оценка старшине не ниже «хорошо»",5,IF(C34="Замечаний не более пяти, оценка старшине не ниже «хорошо»",3,IF(C34="Замечаний более пяти или наряд отстранен, оценка старшине ниже «хорошо»",0,)))</f>
        <v>3</v>
      </c>
    </row>
    <row r="35" spans="1:5">
      <c r="A35" s="51"/>
      <c r="B35" s="52"/>
      <c r="C35" s="53"/>
      <c r="D35" s="52"/>
    </row>
    <row r="36" spans="1:5" ht="39" customHeight="1" thickBot="1">
      <c r="A36" s="40"/>
      <c r="B36" s="45"/>
      <c r="C36" s="43"/>
      <c r="D36" s="45"/>
    </row>
    <row r="37" spans="1:5">
      <c r="A37" s="39" t="s">
        <v>29</v>
      </c>
      <c r="B37" s="44" t="s">
        <v>26</v>
      </c>
      <c r="C37" s="41" t="s">
        <v>65</v>
      </c>
      <c r="D37" s="44">
        <f>IF(C37="Нарушений ТБ, приведших к травматизму л/с нет",10,0)</f>
        <v>10</v>
      </c>
    </row>
    <row r="38" spans="1:5" ht="25.5" customHeight="1" thickBot="1">
      <c r="A38" s="40"/>
      <c r="B38" s="45"/>
      <c r="C38" s="43"/>
      <c r="D38" s="45"/>
    </row>
    <row r="39" spans="1:5">
      <c r="A39" s="39" t="s">
        <v>32</v>
      </c>
      <c r="B39" s="44" t="s">
        <v>28</v>
      </c>
      <c r="C39" s="41" t="s">
        <v>52</v>
      </c>
      <c r="D39" s="44">
        <f>IF(C39="Элементы распорядка дня соблюдаются",10,IF(C39="Не более пяти нарушений распорядка дня, срывов мероприятий не допущено",5,IF(C39="Более пяти нарушений элементов распорядка дня или мероприятие сорвано »",0,)))</f>
        <v>10</v>
      </c>
    </row>
    <row r="40" spans="1:5">
      <c r="A40" s="51"/>
      <c r="B40" s="52"/>
      <c r="C40" s="53"/>
      <c r="D40" s="52"/>
    </row>
    <row r="41" spans="1:5" ht="15.75" thickBot="1">
      <c r="A41" s="40"/>
      <c r="B41" s="45"/>
      <c r="C41" s="43"/>
      <c r="D41" s="45"/>
    </row>
    <row r="42" spans="1:5">
      <c r="A42" s="39" t="s">
        <v>45</v>
      </c>
      <c r="B42" s="41" t="s">
        <v>30</v>
      </c>
      <c r="C42" s="41" t="s">
        <v>31</v>
      </c>
      <c r="D42" s="44">
        <f>IF(C42="Материальные средства подразделения в наличии, исправны, обслужены, хранятся правильно",5,0)</f>
        <v>5</v>
      </c>
    </row>
    <row r="43" spans="1:5" ht="39.75" customHeight="1" thickBot="1">
      <c r="A43" s="40"/>
      <c r="B43" s="42"/>
      <c r="C43" s="43"/>
      <c r="D43" s="45"/>
    </row>
    <row r="44" spans="1:5">
      <c r="A44" s="39" t="s">
        <v>46</v>
      </c>
      <c r="B44" s="41" t="s">
        <v>53</v>
      </c>
      <c r="C44" s="41" t="s">
        <v>49</v>
      </c>
      <c r="D44" s="44">
        <f>IF(C44="Оценка по физической подготовке (культуре) - 5",2,1)</f>
        <v>2</v>
      </c>
    </row>
    <row r="45" spans="1:5" ht="95.25" customHeight="1" thickBot="1">
      <c r="A45" s="40"/>
      <c r="B45" s="42"/>
      <c r="C45" s="43"/>
      <c r="D45" s="45"/>
    </row>
    <row r="46" spans="1:5" ht="15.75">
      <c r="A46" s="46" t="s">
        <v>34</v>
      </c>
      <c r="B46" s="47"/>
      <c r="C46" s="47"/>
      <c r="D46" s="50">
        <f>SUM(D7:D45)</f>
        <v>72</v>
      </c>
      <c r="E46" s="8"/>
    </row>
    <row r="47" spans="1:5" ht="16.5" thickBot="1">
      <c r="A47" s="48"/>
      <c r="B47" s="49"/>
      <c r="C47" s="49"/>
      <c r="D47" s="42"/>
      <c r="E47" s="8"/>
    </row>
    <row r="49" spans="1:5" ht="20.25">
      <c r="A49" s="37" t="s">
        <v>35</v>
      </c>
      <c r="B49" s="37"/>
      <c r="C49" s="37"/>
      <c r="D49" s="5"/>
      <c r="E49" s="5"/>
    </row>
    <row r="50" spans="1:5" ht="20.25">
      <c r="A50" s="38" t="s">
        <v>36</v>
      </c>
      <c r="B50" s="38"/>
      <c r="C50" s="38"/>
      <c r="D50" s="6"/>
      <c r="E50" s="6"/>
    </row>
    <row r="51" spans="1:5" ht="21">
      <c r="A51" s="9"/>
      <c r="B51" s="9"/>
      <c r="C51" s="5" t="s">
        <v>291</v>
      </c>
      <c r="D51" s="5"/>
      <c r="E51" s="9"/>
    </row>
  </sheetData>
  <mergeCells count="71">
    <mergeCell ref="A1:D1"/>
    <mergeCell ref="A2:D2"/>
    <mergeCell ref="A3:E3"/>
    <mergeCell ref="A4:E4"/>
    <mergeCell ref="B5:B6"/>
    <mergeCell ref="C5:C6"/>
    <mergeCell ref="D5:D6"/>
    <mergeCell ref="A7:A9"/>
    <mergeCell ref="B7:B9"/>
    <mergeCell ref="C7:C9"/>
    <mergeCell ref="D7:D9"/>
    <mergeCell ref="A10:A11"/>
    <mergeCell ref="B10:B11"/>
    <mergeCell ref="C10:C11"/>
    <mergeCell ref="D10:D11"/>
    <mergeCell ref="A12:A14"/>
    <mergeCell ref="B12:B14"/>
    <mergeCell ref="C12:C14"/>
    <mergeCell ref="D12:D14"/>
    <mergeCell ref="A15:A17"/>
    <mergeCell ref="B15:B17"/>
    <mergeCell ref="C15:C17"/>
    <mergeCell ref="D15:D17"/>
    <mergeCell ref="A18:A20"/>
    <mergeCell ref="B18:B20"/>
    <mergeCell ref="C18:C20"/>
    <mergeCell ref="D18:D20"/>
    <mergeCell ref="A21:A22"/>
    <mergeCell ref="B21:B22"/>
    <mergeCell ref="C21:C22"/>
    <mergeCell ref="D21:D22"/>
    <mergeCell ref="A23:A25"/>
    <mergeCell ref="B23:B25"/>
    <mergeCell ref="C23:C25"/>
    <mergeCell ref="D23:D25"/>
    <mergeCell ref="A26:A27"/>
    <mergeCell ref="B26:B27"/>
    <mergeCell ref="C26:C27"/>
    <mergeCell ref="D26:D27"/>
    <mergeCell ref="A28:A30"/>
    <mergeCell ref="B28:B30"/>
    <mergeCell ref="C28:C30"/>
    <mergeCell ref="D28:D30"/>
    <mergeCell ref="A31:A33"/>
    <mergeCell ref="B31:B33"/>
    <mergeCell ref="C31:C33"/>
    <mergeCell ref="D31:D33"/>
    <mergeCell ref="A34:A36"/>
    <mergeCell ref="B34:B36"/>
    <mergeCell ref="C34:C36"/>
    <mergeCell ref="D34:D36"/>
    <mergeCell ref="A37:A38"/>
    <mergeCell ref="B37:B38"/>
    <mergeCell ref="C37:C38"/>
    <mergeCell ref="D37:D38"/>
    <mergeCell ref="D44:D45"/>
    <mergeCell ref="A46:C47"/>
    <mergeCell ref="D46:D47"/>
    <mergeCell ref="A39:A41"/>
    <mergeCell ref="B39:B41"/>
    <mergeCell ref="C39:C41"/>
    <mergeCell ref="D39:D41"/>
    <mergeCell ref="A42:A43"/>
    <mergeCell ref="B42:B43"/>
    <mergeCell ref="C42:C43"/>
    <mergeCell ref="D42:D43"/>
    <mergeCell ref="A49:C49"/>
    <mergeCell ref="A50:C50"/>
    <mergeCell ref="A44:A45"/>
    <mergeCell ref="B44:B45"/>
    <mergeCell ref="C44:C45"/>
  </mergeCells>
  <dataValidations count="16">
    <dataValidation type="list" allowBlank="1" showInputMessage="1" showErrorMessage="1" sqref="C10:C11">
      <formula1>"В подразделении и у старшины курса отсутствуют академические задолжности, Имеются задолжности в подразделении или у старшины курса"</formula1>
    </dataValidation>
    <dataValidation type="list" allowBlank="1" showInputMessage="1" showErrorMessage="1" sqref="C12:C14">
      <formula1>"Текущие задолжности в подразделении и старшины курса отсутствуют,Имеются менее 10% задолжностей в подразделении или у старшины курса,Имеютя более 10% задолжностей в подразделении или старшины курса"</formula1>
    </dataValidation>
    <dataValidation type="list" allowBlank="1" showInputMessage="1" showErrorMessage="1" sqref="C7:C9">
      <formula1>$E$7:$E$9</formula1>
    </dataValidation>
    <dataValidation type="list" allowBlank="1" showInputMessage="1" showErrorMessage="1" sqref="C15:C17">
      <formula1>"Замечаний нет,Имеются замечания"</formula1>
    </dataValidation>
    <dataValidation type="list" allowBlank="1" showInputMessage="1" showErrorMessage="1" sqref="C18:C20">
      <formula1>"ПРО, ПРЕ, ГДП в подразделении и старшины курса отсутствуют, ПРО, ПРЕ отсутствуют, имеются не снятые взыскания за ГДП в подразделении, у старшины курса отсутствуют, Совершено ПРО, ПРЕ, ГДП в подразделении или старшины курса или допущено сокрытие"</formula1>
    </dataValidation>
    <dataValidation type="list" allowBlank="1" showInputMessage="1" showErrorMessage="1" sqref="C21:C22">
      <formula1>"Дисциплинарная практика к подчиненному личному составу ведется,Дисциплинарная практика к подчиненному личному составу не реализуется или старшина курса имеет дисциплинарные взыскания"</formula1>
    </dataValidation>
    <dataValidation type="list" allowBlank="1" showInputMessage="1" showErrorMessage="1" sqref="G7">
      <formula1>"яблоко,ананас,кефир"</formula1>
    </dataValidation>
    <dataValidation type="list" allowBlank="1" showInputMessage="1" showErrorMessage="1" sqref="C23:C25">
      <formula1>"Обстановкой владеет, доклады представляет, книжка сержантов актуальна,Обстановкой владеет, доклады представляет, книжка сержантов не актуальна,Обстановкой не владеет, доклады не представляет, книжка сержантов не актуальна"</formula1>
    </dataValidation>
    <dataValidation type="list" allowBlank="1" showInputMessage="1" showErrorMessage="1" sqref="C26:C27">
      <formula1>"Увольнения между учебными группами распределены равномерно,Увольнение между учебными группами распределены не равномерно"</formula1>
    </dataValidation>
    <dataValidation type="list" allowBlank="1" showInputMessage="1" showErrorMessage="1" sqref="C28:C30">
      <formula1>"Наряды и уборщики распределены равномерно,Наряды распределены равномерно, уборщики не равномерно,Наряды и уборщики распределены не равномерно"</formula1>
    </dataValidation>
    <dataValidation type="list" allowBlank="1" showInputMessage="1" showErrorMessage="1" sqref="C31:C33">
      <formula1>"Подготовка проведена, на разводе замечаний нет,Подготовка проведена, на разводе более трех замечаний,Подготовка не проведена, на разводе более трех замечаний или личный состав не допущен,"</formula1>
    </dataValidation>
    <dataValidation type="list" allowBlank="1" showInputMessage="1" showErrorMessage="1" sqref="C34:C36">
      <formula1>"Замечаний нет, оценка старшине не ниже «хорошо»,Замечаний не более пяти, оценка старшине не ниже «хорошо»,Замечаний более пяти или наряд отстранен, оценка старшине ниже «хорошо»"</formula1>
    </dataValidation>
    <dataValidation type="list" allowBlank="1" showInputMessage="1" showErrorMessage="1" sqref="C37:C38">
      <formula1>"Нарушений ТБ, приведших к травматизму л/с нет,Есть нарушения ТБ, приведших к травматизму л/с"</formula1>
    </dataValidation>
    <dataValidation type="list" allowBlank="1" showInputMessage="1" showErrorMessage="1" sqref="C39:C41">
      <formula1>"Элементы распорядка дня соблюдаются,Не более пяти нарушений распорядка дня, срывов мероприятий не допущено,Более пяти нарушений элементов распорядка дня или мероприятие сорвано "</formula1>
    </dataValidation>
    <dataValidation type="list" allowBlank="1" showInputMessage="1" showErrorMessage="1" sqref="C42:C43">
      <formula1>"Материальные средства подразделения в наличии, исправны, обслужены, хранятся правильно,Не выполнены предъявляемые критерии "</formula1>
    </dataValidation>
    <dataValidation type="list" allowBlank="1" showInputMessage="1" showErrorMessage="1" sqref="C44:C45">
      <formula1>"Оценка по физической подготовке (культуре) - 5,Оценка по физической подготовке (культуре) - 4"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sheetPr>
    <tabColor rgb="FFFFFF00"/>
  </sheetPr>
  <dimension ref="A1:L56"/>
  <sheetViews>
    <sheetView zoomScale="55" zoomScaleNormal="55" workbookViewId="0">
      <selection activeCell="G1" sqref="G1:L1048576"/>
    </sheetView>
  </sheetViews>
  <sheetFormatPr defaultRowHeight="15"/>
  <cols>
    <col min="2" max="2" width="26" customWidth="1"/>
    <col min="3" max="3" width="58.5703125" customWidth="1"/>
    <col min="4" max="4" width="28.5703125" customWidth="1"/>
    <col min="5" max="5" width="0.140625" customWidth="1"/>
    <col min="6" max="6" width="0.42578125" customWidth="1"/>
    <col min="7" max="11" width="9.140625" hidden="1" customWidth="1"/>
    <col min="12" max="12" width="12" hidden="1" customWidth="1"/>
    <col min="13" max="13" width="9.140625" customWidth="1"/>
  </cols>
  <sheetData>
    <row r="1" spans="1:12" ht="20.25">
      <c r="A1" s="56" t="s">
        <v>0</v>
      </c>
      <c r="B1" s="56"/>
      <c r="C1" s="56"/>
      <c r="D1" s="56"/>
      <c r="E1" s="56"/>
    </row>
    <row r="2" spans="1:12" ht="18.75">
      <c r="A2" s="57" t="s">
        <v>1</v>
      </c>
      <c r="B2" s="57"/>
      <c r="C2" s="57"/>
      <c r="D2" s="57"/>
      <c r="E2" s="57"/>
    </row>
    <row r="3" spans="1:12" ht="18.75" customHeight="1">
      <c r="A3" s="58" t="s">
        <v>303</v>
      </c>
      <c r="B3" s="57"/>
      <c r="C3" s="57"/>
      <c r="D3" s="57"/>
      <c r="E3" s="57"/>
    </row>
    <row r="4" spans="1:12" ht="16.5" thickBot="1">
      <c r="A4" s="59"/>
      <c r="B4" s="59"/>
      <c r="C4" s="59"/>
      <c r="D4" s="59"/>
      <c r="E4" s="59"/>
    </row>
    <row r="5" spans="1:12" ht="15.75" customHeight="1">
      <c r="A5" s="2" t="s">
        <v>3</v>
      </c>
      <c r="B5" s="60" t="s">
        <v>54</v>
      </c>
      <c r="C5" s="60" t="s">
        <v>55</v>
      </c>
      <c r="D5" s="60" t="s">
        <v>42</v>
      </c>
    </row>
    <row r="6" spans="1:12" ht="16.5" thickBot="1">
      <c r="A6" s="4" t="s">
        <v>4</v>
      </c>
      <c r="B6" s="61"/>
      <c r="C6" s="61"/>
      <c r="D6" s="61"/>
    </row>
    <row r="7" spans="1:12" ht="15" customHeight="1">
      <c r="A7" s="39" t="s">
        <v>5</v>
      </c>
      <c r="B7" s="44" t="s">
        <v>6</v>
      </c>
      <c r="C7" s="44" t="s">
        <v>345</v>
      </c>
      <c r="D7" s="44">
        <f>IF(IFERROR(SEARCH("подразделения ≥ 4,5", C7), 0) &gt; 0, 5, IF(IFERROR(SEARCH("подразделения ≥ 4,0", C7), 0) &gt; 0, 3, IF(IFERROR(SEARCH("&lt;", C7), 0) &gt; 0, 0,)))</f>
        <v>0</v>
      </c>
      <c r="F7">
        <v>5</v>
      </c>
      <c r="G7" s="16" t="s">
        <v>344</v>
      </c>
    </row>
    <row r="8" spans="1:12" ht="15" customHeight="1">
      <c r="A8" s="51"/>
      <c r="B8" s="54"/>
      <c r="C8" s="52"/>
      <c r="D8" s="52"/>
      <c r="F8">
        <v>3</v>
      </c>
      <c r="G8" s="17" t="s">
        <v>343</v>
      </c>
    </row>
    <row r="9" spans="1:12" ht="18.75" customHeight="1" thickBot="1">
      <c r="A9" s="40"/>
      <c r="B9" s="55"/>
      <c r="C9" s="45"/>
      <c r="D9" s="45"/>
      <c r="F9">
        <v>0</v>
      </c>
      <c r="G9" s="18" t="s">
        <v>345</v>
      </c>
    </row>
    <row r="10" spans="1:12" ht="15" customHeight="1">
      <c r="A10" s="39" t="s">
        <v>7</v>
      </c>
      <c r="B10" s="44" t="s">
        <v>8</v>
      </c>
      <c r="C10" s="44" t="s">
        <v>70</v>
      </c>
      <c r="D10" s="44">
        <f>IF(C10="Академические задолжности отсутствуют",10,0)</f>
        <v>0</v>
      </c>
      <c r="F10">
        <v>10</v>
      </c>
    </row>
    <row r="11" spans="1:12" ht="15.75" customHeight="1" thickBot="1">
      <c r="A11" s="40"/>
      <c r="B11" s="45"/>
      <c r="C11" s="45"/>
      <c r="D11" s="45"/>
      <c r="F11">
        <v>0</v>
      </c>
    </row>
    <row r="12" spans="1:12" ht="15" customHeight="1">
      <c r="A12" s="39" t="s">
        <v>9</v>
      </c>
      <c r="B12" s="44" t="s">
        <v>10</v>
      </c>
      <c r="C12" s="44" t="s">
        <v>266</v>
      </c>
      <c r="D12" s="44">
        <f>IF(C12="В подразделении и у КУГ отсутствуют текущие задолжности",5,IF(C12="Имеются менее 20% текущих задолжностей в подразделении или у КУГ",3,IF(C12="Имеются более 20% текущих задолжностей в подразделении или у КУГ",0,)))</f>
        <v>5</v>
      </c>
      <c r="F12">
        <v>5</v>
      </c>
    </row>
    <row r="13" spans="1:12" ht="15" customHeight="1">
      <c r="A13" s="51"/>
      <c r="B13" s="52"/>
      <c r="C13" s="52"/>
      <c r="D13" s="52"/>
      <c r="F13">
        <v>3</v>
      </c>
    </row>
    <row r="14" spans="1:12" ht="15.75" customHeight="1" thickBot="1">
      <c r="A14" s="40"/>
      <c r="B14" s="45"/>
      <c r="C14" s="45"/>
      <c r="D14" s="45"/>
      <c r="F14">
        <v>0</v>
      </c>
    </row>
    <row r="15" spans="1:12" ht="15" customHeight="1">
      <c r="A15" s="39" t="s">
        <v>11</v>
      </c>
      <c r="B15" s="44" t="s">
        <v>39</v>
      </c>
      <c r="C15" s="64" t="s">
        <v>40</v>
      </c>
      <c r="D15" s="44">
        <f>IF(C15="Подразделение прибыло на занятие своевременно; дежурный по аудитории назначен; ЖУУЗ и классная доска оформлены; литература, конспекты, ПЭВМ (по необходимости) получены; внутренний порядок в аудитории поддерживается",5,IF(C15="Подразделение прибыло на занятие своевременно; дежурный по аудитории назначен; литература, конспекты, ПЭВМ (по необходимости) получены; ЖУУЗ или классная доска оформлены не своевременно; или имеются отклонения по  внутреннему порядку в аудитории",3,IF(C15="одразделение опоздало на занятие; или ЖУУЗ и классная доска не оформлены; литература, конспекты, ПЭВМ (по необходимости) не получены; или внутренний порядок в аудитории не поддерживается ",0,)))</f>
        <v>5</v>
      </c>
      <c r="F15">
        <v>5</v>
      </c>
      <c r="L15" s="13" t="s">
        <v>40</v>
      </c>
    </row>
    <row r="16" spans="1:12" ht="15" customHeight="1">
      <c r="A16" s="51"/>
      <c r="B16" s="52"/>
      <c r="C16" s="62"/>
      <c r="D16" s="52"/>
      <c r="F16">
        <v>3</v>
      </c>
      <c r="L16" s="13" t="s">
        <v>77</v>
      </c>
    </row>
    <row r="17" spans="1:12" ht="52.5" customHeight="1" thickBot="1">
      <c r="A17" s="40"/>
      <c r="B17" s="45"/>
      <c r="C17" s="63"/>
      <c r="D17" s="45"/>
      <c r="F17">
        <v>0</v>
      </c>
      <c r="L17" t="s">
        <v>78</v>
      </c>
    </row>
    <row r="18" spans="1:12" ht="15" customHeight="1" thickBot="1">
      <c r="A18" s="39" t="s">
        <v>13</v>
      </c>
      <c r="B18" s="44" t="s">
        <v>41</v>
      </c>
      <c r="C18" s="64" t="s">
        <v>79</v>
      </c>
      <c r="D18" s="44">
        <f>IF(IFERROR(SEARCH("30%", C18), 0) &gt; 0, 5, IF(IFERROR(SEARCH("10%", C18), 0) &gt; 0, 3, IF(IFERROR(SEARCH("не получены", C18), 0) &gt; 0, 0,)))</f>
        <v>5</v>
      </c>
      <c r="F18">
        <v>10</v>
      </c>
      <c r="L18" s="14" t="s">
        <v>79</v>
      </c>
    </row>
    <row r="19" spans="1:12" ht="15" customHeight="1">
      <c r="A19" s="51"/>
      <c r="B19" s="52"/>
      <c r="C19" s="62"/>
      <c r="D19" s="52"/>
      <c r="F19">
        <v>2</v>
      </c>
      <c r="L19" s="13" t="s">
        <v>80</v>
      </c>
    </row>
    <row r="20" spans="1:12" ht="105" customHeight="1" thickBot="1">
      <c r="A20" s="40"/>
      <c r="B20" s="45"/>
      <c r="C20" s="63"/>
      <c r="D20" s="45"/>
      <c r="F20">
        <v>0</v>
      </c>
      <c r="L20" s="13" t="s">
        <v>81</v>
      </c>
    </row>
    <row r="21" spans="1:12" ht="15" customHeight="1">
      <c r="A21" s="39" t="s">
        <v>15</v>
      </c>
      <c r="B21" s="44" t="s">
        <v>12</v>
      </c>
      <c r="C21" s="41" t="s">
        <v>261</v>
      </c>
      <c r="D21" s="44">
        <f>IF(C21="Замечания в подразделении и у КУГ отсутствуют",5,IF(C21="В подразделении 2 замечания у КУГ отсутствуют",3,IF(C21="В подразделении 3 и более замечаний или замечания у КУГ",0,)))</f>
        <v>3</v>
      </c>
      <c r="F21">
        <v>5</v>
      </c>
    </row>
    <row r="22" spans="1:12" ht="15.75" customHeight="1">
      <c r="A22" s="51"/>
      <c r="B22" s="52"/>
      <c r="C22" s="53"/>
      <c r="D22" s="52"/>
      <c r="F22">
        <v>0</v>
      </c>
    </row>
    <row r="23" spans="1:12" ht="82.5" customHeight="1" thickBot="1">
      <c r="A23" s="40"/>
      <c r="B23" s="45"/>
      <c r="C23" s="43"/>
      <c r="D23" s="45"/>
      <c r="F23">
        <v>10</v>
      </c>
    </row>
    <row r="24" spans="1:12" ht="15" customHeight="1">
      <c r="A24" s="39" t="s">
        <v>17</v>
      </c>
      <c r="B24" s="44" t="s">
        <v>14</v>
      </c>
      <c r="C24" s="41" t="s">
        <v>262</v>
      </c>
      <c r="D24" s="44">
        <f>IF(C24="ПРО, ПРЕ, ГДП в подразделении и КУГ отсутствуют",10,IF(C24="ПРО, ПРЕ отсутствуют, имеются не снятые взыскания за ГДП в подразделении, у КУГ отсутствуют",2,IF(C24="Совершено ПРО, ПРЕ, ГДП в подразделении или КУГ или допущено сокрытие",0,)))</f>
        <v>10</v>
      </c>
      <c r="F24">
        <v>5</v>
      </c>
    </row>
    <row r="25" spans="1:12" ht="15.75" customHeight="1">
      <c r="A25" s="51"/>
      <c r="B25" s="52"/>
      <c r="C25" s="53"/>
      <c r="D25" s="52"/>
      <c r="F25">
        <v>0</v>
      </c>
    </row>
    <row r="26" spans="1:12" ht="52.5" customHeight="1" thickBot="1">
      <c r="A26" s="40"/>
      <c r="B26" s="45"/>
      <c r="C26" s="43"/>
      <c r="D26" s="45"/>
      <c r="F26">
        <v>3</v>
      </c>
    </row>
    <row r="27" spans="1:12" ht="15.75" customHeight="1">
      <c r="A27" s="39" t="s">
        <v>20</v>
      </c>
      <c r="B27" s="44" t="s">
        <v>16</v>
      </c>
      <c r="C27" s="41" t="s">
        <v>57</v>
      </c>
      <c r="D27" s="44">
        <f>IF(C27="Дисциплинарная практика к подчиненному личному составу ведется",5,0)</f>
        <v>5</v>
      </c>
      <c r="F27">
        <v>0</v>
      </c>
    </row>
    <row r="28" spans="1:12" ht="15" customHeight="1" thickBot="1">
      <c r="A28" s="40"/>
      <c r="B28" s="45"/>
      <c r="C28" s="43"/>
      <c r="D28" s="45"/>
      <c r="F28">
        <v>5</v>
      </c>
    </row>
    <row r="29" spans="1:12" ht="15" customHeight="1">
      <c r="A29" s="39" t="s">
        <v>23</v>
      </c>
      <c r="B29" s="44" t="s">
        <v>18</v>
      </c>
      <c r="C29" s="41" t="s">
        <v>60</v>
      </c>
      <c r="D29" s="44">
        <f>IF(C29="Обстановкой владеет, доклады представляет, книжка сержантов актуальна",10,IF(C29="Обстановкой владеет, доклады представляет, книжка сержантов не актуальна",5,IF(C29="Обстановкой не владеет, доклады не представляет, книжка сержантов не актуальна",0,)))</f>
        <v>10</v>
      </c>
      <c r="F29">
        <v>3</v>
      </c>
    </row>
    <row r="30" spans="1:12" ht="15.75" customHeight="1">
      <c r="A30" s="51"/>
      <c r="B30" s="52"/>
      <c r="C30" s="53"/>
      <c r="D30" s="52"/>
      <c r="F30">
        <v>0</v>
      </c>
    </row>
    <row r="31" spans="1:12" ht="105" customHeight="1" thickBot="1">
      <c r="A31" s="40"/>
      <c r="B31" s="45"/>
      <c r="C31" s="43"/>
      <c r="D31" s="45"/>
      <c r="F31">
        <v>10</v>
      </c>
    </row>
    <row r="32" spans="1:12" ht="26.25" customHeight="1">
      <c r="A32" s="39" t="s">
        <v>25</v>
      </c>
      <c r="B32" s="44" t="s">
        <v>21</v>
      </c>
      <c r="C32" s="41" t="s">
        <v>75</v>
      </c>
      <c r="D32" s="44">
        <f>IF(C32="Подведение итогов актуально, поставлены конкретные задачи и проводится в установленное время",3,0)</f>
        <v>3</v>
      </c>
      <c r="F32">
        <v>0</v>
      </c>
    </row>
    <row r="33" spans="1:6" ht="30" customHeight="1" thickBot="1">
      <c r="A33" s="40"/>
      <c r="B33" s="45"/>
      <c r="C33" s="43"/>
      <c r="D33" s="45"/>
      <c r="F33">
        <v>10</v>
      </c>
    </row>
    <row r="34" spans="1:6" ht="15" customHeight="1">
      <c r="A34" s="51" t="s">
        <v>27</v>
      </c>
      <c r="B34" s="52" t="s">
        <v>43</v>
      </c>
      <c r="C34" s="41" t="s">
        <v>263</v>
      </c>
      <c r="D34" s="62">
        <f>IF(C34="Увольнения распределены равномерно",2,0)</f>
        <v>2</v>
      </c>
      <c r="F34">
        <v>5</v>
      </c>
    </row>
    <row r="35" spans="1:6" ht="15.75" customHeight="1" thickBot="1">
      <c r="A35" s="40"/>
      <c r="B35" s="45"/>
      <c r="C35" s="43"/>
      <c r="D35" s="63"/>
      <c r="F35">
        <v>0</v>
      </c>
    </row>
    <row r="36" spans="1:6" ht="15" customHeight="1">
      <c r="A36" s="39" t="s">
        <v>29</v>
      </c>
      <c r="B36" s="44" t="s">
        <v>44</v>
      </c>
      <c r="C36" s="44" t="s">
        <v>61</v>
      </c>
      <c r="D36" s="64">
        <f>IF(C36="Наряды и уборщики распределены равномерно",2,IF(C36="Наряды распределены равномерно, уборщики не равномерно",1,IF(C36="Наряды и уборщики распределены не равномерно",0,)))</f>
        <v>2</v>
      </c>
      <c r="F36">
        <v>5</v>
      </c>
    </row>
    <row r="37" spans="1:6" ht="15.75" customHeight="1">
      <c r="A37" s="51"/>
      <c r="B37" s="52"/>
      <c r="C37" s="52"/>
      <c r="D37" s="62"/>
      <c r="F37">
        <v>0</v>
      </c>
    </row>
    <row r="38" spans="1:6" ht="38.25" customHeight="1" thickBot="1">
      <c r="A38" s="40"/>
      <c r="B38" s="45"/>
      <c r="C38" s="45"/>
      <c r="D38" s="63"/>
      <c r="F38">
        <v>2</v>
      </c>
    </row>
    <row r="39" spans="1:6" ht="15.75" customHeight="1">
      <c r="A39" s="39" t="s">
        <v>32</v>
      </c>
      <c r="B39" s="44" t="s">
        <v>24</v>
      </c>
      <c r="C39" s="41" t="s">
        <v>336</v>
      </c>
      <c r="D39" s="44">
        <f>IF(C39="Замечания у подчиненного л/с отсутствуют, КУГ оценен не ниже «хорошо»",5,IF(C39="Выявлено не более 2 замечаний у подчиненного л/с, КУГ оценен не ниже «хорошо»",3,IF(C39="Л/с отстранен или выявлено более 2 замечаний, КУГ оценен ниже «хорошо»",0,)))</f>
        <v>3</v>
      </c>
      <c r="F39">
        <v>1</v>
      </c>
    </row>
    <row r="40" spans="1:6" ht="15" customHeight="1">
      <c r="A40" s="51"/>
      <c r="B40" s="52"/>
      <c r="C40" s="53"/>
      <c r="D40" s="52"/>
    </row>
    <row r="41" spans="1:6" ht="40.5" customHeight="1" thickBot="1">
      <c r="A41" s="40"/>
      <c r="B41" s="45"/>
      <c r="C41" s="43"/>
      <c r="D41" s="45"/>
    </row>
    <row r="42" spans="1:6">
      <c r="A42" s="39" t="s">
        <v>45</v>
      </c>
      <c r="B42" s="44" t="s">
        <v>26</v>
      </c>
      <c r="C42" s="41" t="s">
        <v>65</v>
      </c>
      <c r="D42" s="44">
        <f>IF(C42="Нарушений ТБ, приведших к травматизму л/с нет",10,0)</f>
        <v>10</v>
      </c>
    </row>
    <row r="43" spans="1:6" ht="44.25" customHeight="1" thickBot="1">
      <c r="A43" s="40"/>
      <c r="B43" s="45"/>
      <c r="C43" s="43"/>
      <c r="D43" s="45"/>
    </row>
    <row r="44" spans="1:6">
      <c r="A44" s="39" t="s">
        <v>46</v>
      </c>
      <c r="B44" s="44" t="s">
        <v>28</v>
      </c>
      <c r="C44" s="41" t="s">
        <v>52</v>
      </c>
      <c r="D44" s="44">
        <f>IF(C44="Элементы распорядка дня соблюдаются",10,IF(C44="Не более пяти нарушений распорядка дня, срывов мероприятий не допущено",5,IF(C44="Более пяти нарушений элементов распорядка дня или мероприятие сорвано",0,)))</f>
        <v>10</v>
      </c>
    </row>
    <row r="45" spans="1:6">
      <c r="A45" s="51"/>
      <c r="B45" s="52"/>
      <c r="C45" s="53"/>
      <c r="D45" s="52"/>
    </row>
    <row r="46" spans="1:6" ht="15.75" thickBot="1">
      <c r="A46" s="40"/>
      <c r="B46" s="45"/>
      <c r="C46" s="43"/>
      <c r="D46" s="45"/>
    </row>
    <row r="47" spans="1:6">
      <c r="A47" s="39" t="s">
        <v>47</v>
      </c>
      <c r="B47" s="44" t="s">
        <v>30</v>
      </c>
      <c r="C47" s="41" t="s">
        <v>31</v>
      </c>
      <c r="D47" s="44">
        <f>IF(C47="Материальные средства подразделения в наличии, исправны, обслужены, хранятся правильно",5,0)</f>
        <v>5</v>
      </c>
    </row>
    <row r="48" spans="1:6" ht="45" customHeight="1" thickBot="1">
      <c r="A48" s="40"/>
      <c r="B48" s="45"/>
      <c r="C48" s="43"/>
      <c r="D48" s="45"/>
    </row>
    <row r="49" spans="1:5">
      <c r="A49" s="39" t="s">
        <v>48</v>
      </c>
      <c r="B49" s="44" t="s">
        <v>33</v>
      </c>
      <c r="C49" s="41" t="s">
        <v>49</v>
      </c>
      <c r="D49" s="44">
        <f>IF(C49="Оценка по физической подготовке (культуре) - 5",2,1)</f>
        <v>2</v>
      </c>
    </row>
    <row r="50" spans="1:5" ht="97.5" customHeight="1" thickBot="1">
      <c r="A50" s="40"/>
      <c r="B50" s="45"/>
      <c r="C50" s="43"/>
      <c r="D50" s="45"/>
    </row>
    <row r="51" spans="1:5" ht="15.75">
      <c r="A51" s="46" t="s">
        <v>34</v>
      </c>
      <c r="B51" s="47"/>
      <c r="C51" s="47"/>
      <c r="D51" s="50">
        <f>SUM(D7:D50)</f>
        <v>80</v>
      </c>
      <c r="E51" s="8"/>
    </row>
    <row r="52" spans="1:5" ht="16.5" thickBot="1">
      <c r="A52" s="48"/>
      <c r="B52" s="49"/>
      <c r="C52" s="49"/>
      <c r="D52" s="42"/>
      <c r="E52" s="8"/>
    </row>
    <row r="54" spans="1:5" ht="20.25">
      <c r="A54" s="37" t="s">
        <v>35</v>
      </c>
      <c r="B54" s="37"/>
      <c r="C54" s="37"/>
      <c r="D54" s="37"/>
      <c r="E54" s="37"/>
    </row>
    <row r="55" spans="1:5" ht="20.25">
      <c r="A55" s="38" t="s">
        <v>36</v>
      </c>
      <c r="B55" s="38"/>
      <c r="C55" s="38"/>
      <c r="D55" s="38"/>
      <c r="E55" s="38"/>
    </row>
    <row r="56" spans="1:5" ht="21">
      <c r="A56" s="9"/>
      <c r="B56" s="9"/>
      <c r="C56" s="5" t="s">
        <v>290</v>
      </c>
      <c r="D56" s="5"/>
      <c r="E56" s="9"/>
    </row>
  </sheetData>
  <mergeCells count="79">
    <mergeCell ref="A1:E1"/>
    <mergeCell ref="A2:E2"/>
    <mergeCell ref="A3:E3"/>
    <mergeCell ref="A4:E4"/>
    <mergeCell ref="B5:B6"/>
    <mergeCell ref="C5:C6"/>
    <mergeCell ref="D5:D6"/>
    <mergeCell ref="A7:A9"/>
    <mergeCell ref="B7:B9"/>
    <mergeCell ref="C7:C9"/>
    <mergeCell ref="D7:D9"/>
    <mergeCell ref="A10:A11"/>
    <mergeCell ref="B10:B11"/>
    <mergeCell ref="C10:C11"/>
    <mergeCell ref="D10:D11"/>
    <mergeCell ref="A12:A14"/>
    <mergeCell ref="B12:B14"/>
    <mergeCell ref="C12:C14"/>
    <mergeCell ref="D12:D14"/>
    <mergeCell ref="A15:A17"/>
    <mergeCell ref="B15:B17"/>
    <mergeCell ref="C15:C17"/>
    <mergeCell ref="D15:D17"/>
    <mergeCell ref="A18:A20"/>
    <mergeCell ref="B18:B20"/>
    <mergeCell ref="C18:C20"/>
    <mergeCell ref="D18:D20"/>
    <mergeCell ref="A21:A23"/>
    <mergeCell ref="B21:B23"/>
    <mergeCell ref="C21:C23"/>
    <mergeCell ref="D21:D23"/>
    <mergeCell ref="A24:A26"/>
    <mergeCell ref="B24:B26"/>
    <mergeCell ref="C24:C26"/>
    <mergeCell ref="D24:D26"/>
    <mergeCell ref="A27:A28"/>
    <mergeCell ref="B27:B28"/>
    <mergeCell ref="C27:C28"/>
    <mergeCell ref="D27:D28"/>
    <mergeCell ref="A29:A31"/>
    <mergeCell ref="B29:B31"/>
    <mergeCell ref="C29:C31"/>
    <mergeCell ref="D29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8"/>
    <mergeCell ref="B36:B38"/>
    <mergeCell ref="C36:C38"/>
    <mergeCell ref="D36:D38"/>
    <mergeCell ref="A39:A41"/>
    <mergeCell ref="B39:B41"/>
    <mergeCell ref="C39:C41"/>
    <mergeCell ref="D39:D41"/>
    <mergeCell ref="A42:A43"/>
    <mergeCell ref="B42:B43"/>
    <mergeCell ref="C42:C43"/>
    <mergeCell ref="D42:D43"/>
    <mergeCell ref="A44:A46"/>
    <mergeCell ref="B44:B46"/>
    <mergeCell ref="C44:C46"/>
    <mergeCell ref="D44:D46"/>
    <mergeCell ref="A47:A48"/>
    <mergeCell ref="B47:B48"/>
    <mergeCell ref="C47:C48"/>
    <mergeCell ref="D47:D48"/>
    <mergeCell ref="A54:E54"/>
    <mergeCell ref="A55:E55"/>
    <mergeCell ref="A49:A50"/>
    <mergeCell ref="B49:B50"/>
    <mergeCell ref="C49:C50"/>
    <mergeCell ref="D49:D50"/>
    <mergeCell ref="A51:C52"/>
    <mergeCell ref="D51:D52"/>
  </mergeCells>
  <dataValidations count="17">
    <dataValidation type="list" allowBlank="1" showInputMessage="1" showErrorMessage="1" sqref="C7:C9">
      <formula1>$G$7:$G$9</formula1>
    </dataValidation>
    <dataValidation type="list" allowBlank="1" showInputMessage="1" showErrorMessage="1" sqref="C10:C11">
      <formula1>"Академические задолжности отсутствуют, Имеются академические задолжности в учебной группе или у КУГ"</formula1>
    </dataValidation>
    <dataValidation type="list" allowBlank="1" showInputMessage="1" showErrorMessage="1" sqref="C12:C14">
      <formula1>"В подразделении и у КУГ отсутствуют текущие задолжности,Имеются менее 20% текущих задолжностей в подразделении или у КУГ,Имеются более 20% текущих задолжностей в подразделении или у КУГ"</formula1>
    </dataValidation>
    <dataValidation type="list" allowBlank="1" showInputMessage="1" showErrorMessage="1" sqref="C15:C17">
      <formula1>$L$15:$L$17</formula1>
    </dataValidation>
    <dataValidation type="list" allowBlank="1" showInputMessage="1" showErrorMessage="1" sqref="C21:C23">
      <formula1>"Замечания в подразделении и у КУГ отсутствуют,В подразделении 2 замечания у КУГ отсутствуют,В подразделении 3 и более замечаний или замечания у КУГ"</formula1>
    </dataValidation>
    <dataValidation type="list" allowBlank="1" showInputMessage="1" showErrorMessage="1" sqref="C24:C26">
      <formula1>"ПРО, ПРЕ, ГДП в подразделении и КУГ отсутствуют, ПРО, ПРЕ отсутствуют, имеются не снятые взыскания за ГДП в подразделении, у КУГ отсутствуют, Совершено ПРО, ПРЕ, ГДП в подразделении или КУГ или допущено сокрытие"</formula1>
    </dataValidation>
    <dataValidation type="list" allowBlank="1" showInputMessage="1" showErrorMessage="1" sqref="C27:C28">
      <formula1>"Дисциплинарная практика к подчиненному личному составу ведется,Дисциплинарная практика к подчиненному личному составу не реализуется или КУГ имеет дисциплинарные взыскания"</formula1>
    </dataValidation>
    <dataValidation type="list" allowBlank="1" showInputMessage="1" showErrorMessage="1" sqref="C29:C31">
      <formula1>"Обстановкой владеет, доклады представляет, книжка сержантов актуальна,Обстановкой владеет, доклады представляет, книжка сержантов не актуальна,Обстановкой не владеет, доклады не представляет, книжка сержантов не актуальна"</formula1>
    </dataValidation>
    <dataValidation type="list" allowBlank="1" showInputMessage="1" showErrorMessage="1" sqref="C32:C33">
      <formula1>"Подведение итогов актуально, поставлены конкретные задачи и проводится в установленное время,Подведение итогов не актуально, не поставлены задачи или не проводится"</formula1>
    </dataValidation>
    <dataValidation type="list" allowBlank="1" showInputMessage="1" showErrorMessage="1" sqref="C34:C35">
      <formula1>"Увольнения распределены равномерно,Увольнения распределяются не равномерно"</formula1>
    </dataValidation>
    <dataValidation type="list" allowBlank="1" showInputMessage="1" showErrorMessage="1" sqref="C36:C38">
      <formula1>"Наряды и уборщики распределены равномерно,Наряды распределены равномерно, уборщики не равномерно,Наряды и уборщики распределены не равномерно"</formula1>
    </dataValidation>
    <dataValidation type="list" allowBlank="1" showInputMessage="1" showErrorMessage="1" sqref="C39:C41">
      <formula1>"Замечания у подчиненного л/с отсутствуют, КУГ оценен не ниже «хорошо»,Выявлено не более 2 замечаний у подчиненного л/с, КУГ оценен не ниже «хорошо»,Л/с отстранен или выявлено более 2 замечаний, КУГ оценен ниже «хорошо»,"</formula1>
    </dataValidation>
    <dataValidation type="list" allowBlank="1" showInputMessage="1" showErrorMessage="1" sqref="C42:C43">
      <formula1>"Нарушений ТБ, приведших к травматизму л/с нет,Есть нарушения ТБ, приведших к травматизму л/с"</formula1>
    </dataValidation>
    <dataValidation type="list" allowBlank="1" showInputMessage="1" showErrorMessage="1" sqref="C44:C46">
      <formula1>"Элементы распорядка дня соблюдаются,Не более пяти нарушений распорядка дня, срывов мероприятий не допущено,Более пяти нарушений элементов распорядка дня или мероприятие сорвано"</formula1>
    </dataValidation>
    <dataValidation type="list" allowBlank="1" showInputMessage="1" showErrorMessage="1" sqref="C47:C48">
      <formula1>"Материальные средства подразделения в наличии, исправны, обслужены, хранятся правильно,Не выполнены предъявляемые критерии "</formula1>
    </dataValidation>
    <dataValidation type="list" allowBlank="1" showInputMessage="1" showErrorMessage="1" sqref="C49:C50">
      <formula1>"Оценка по физической подготовке (культуре) - 5,Оценка по физической подготовке (культуре) - 4"</formula1>
    </dataValidation>
    <dataValidation type="list" allowBlank="1" showInputMessage="1" showErrorMessage="1" sqref="C18:C20">
      <formula1>$L$18:$L$20</formula1>
    </dataValidation>
  </dataValidations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>
  <sheetPr>
    <tabColor rgb="FFFFFF00"/>
  </sheetPr>
  <dimension ref="A1:U46"/>
  <sheetViews>
    <sheetView topLeftCell="A7" zoomScale="55" zoomScaleNormal="55" workbookViewId="0">
      <selection activeCell="C21" sqref="C21:C22"/>
    </sheetView>
  </sheetViews>
  <sheetFormatPr defaultRowHeight="15"/>
  <cols>
    <col min="2" max="2" width="26" customWidth="1"/>
    <col min="3" max="3" width="58.5703125" customWidth="1"/>
    <col min="4" max="4" width="28.42578125" customWidth="1"/>
    <col min="5" max="5" width="24.140625" hidden="1" customWidth="1"/>
    <col min="6" max="6" width="24" hidden="1" customWidth="1"/>
    <col min="7" max="7" width="1.85546875" hidden="1" customWidth="1"/>
    <col min="8" max="8" width="18.42578125" customWidth="1"/>
  </cols>
  <sheetData>
    <row r="1" spans="1:21" ht="20.25">
      <c r="A1" s="56" t="s">
        <v>0</v>
      </c>
      <c r="B1" s="56"/>
      <c r="C1" s="56"/>
      <c r="D1" s="56"/>
      <c r="E1" s="56"/>
    </row>
    <row r="2" spans="1:21" ht="18.75">
      <c r="A2" s="57" t="s">
        <v>1</v>
      </c>
      <c r="B2" s="57"/>
      <c r="C2" s="57"/>
      <c r="D2" s="57"/>
      <c r="E2" s="57"/>
    </row>
    <row r="3" spans="1:21" ht="18.75" customHeight="1">
      <c r="A3" s="58" t="s">
        <v>302</v>
      </c>
      <c r="B3" s="57"/>
      <c r="C3" s="57"/>
      <c r="D3" s="57"/>
      <c r="E3" s="57"/>
    </row>
    <row r="4" spans="1:21" ht="16.5" thickBot="1">
      <c r="A4" s="59"/>
      <c r="B4" s="59"/>
      <c r="C4" s="59"/>
      <c r="D4" s="59"/>
      <c r="E4" s="59"/>
    </row>
    <row r="5" spans="1:21" ht="15.75">
      <c r="A5" s="2" t="s">
        <v>3</v>
      </c>
      <c r="B5" s="60" t="s">
        <v>54</v>
      </c>
      <c r="C5" s="60" t="s">
        <v>55</v>
      </c>
      <c r="D5" s="60" t="s">
        <v>42</v>
      </c>
    </row>
    <row r="6" spans="1:21" ht="16.5" thickBot="1">
      <c r="A6" s="4" t="s">
        <v>4</v>
      </c>
      <c r="B6" s="61"/>
      <c r="C6" s="61"/>
      <c r="D6" s="61"/>
    </row>
    <row r="7" spans="1:21" ht="13.5" customHeight="1">
      <c r="A7" s="39" t="s">
        <v>5</v>
      </c>
      <c r="B7" s="44" t="s">
        <v>6</v>
      </c>
      <c r="C7" s="44" t="s">
        <v>84</v>
      </c>
      <c r="D7" s="44">
        <f>IF(IFERROR(SEARCH("подразделения ≥ 4,5", C7), 0) &gt; 0, 5, IF(IFERROR(SEARCH("подразделения ≥ 4,0", C7), 0) &gt; 0, 3, IF(IFERROR(SEARCH("&lt;", C7), 0) &gt; 0, 0,)))</f>
        <v>0</v>
      </c>
      <c r="F7">
        <v>5</v>
      </c>
      <c r="G7" s="16" t="s">
        <v>82</v>
      </c>
      <c r="N7" s="15"/>
      <c r="U7" s="15"/>
    </row>
    <row r="8" spans="1:21" ht="20.25" customHeight="1">
      <c r="A8" s="51"/>
      <c r="B8" s="54"/>
      <c r="C8" s="52"/>
      <c r="D8" s="52"/>
      <c r="F8">
        <v>3</v>
      </c>
      <c r="G8" s="17" t="s">
        <v>83</v>
      </c>
      <c r="N8" s="13"/>
      <c r="U8" s="13"/>
    </row>
    <row r="9" spans="1:21" ht="18" customHeight="1" thickBot="1">
      <c r="A9" s="40"/>
      <c r="B9" s="55"/>
      <c r="C9" s="45"/>
      <c r="D9" s="45"/>
      <c r="F9">
        <v>0</v>
      </c>
      <c r="G9" s="18" t="s">
        <v>84</v>
      </c>
    </row>
    <row r="10" spans="1:21">
      <c r="A10" s="39" t="s">
        <v>7</v>
      </c>
      <c r="B10" s="44" t="s">
        <v>8</v>
      </c>
      <c r="C10" s="44" t="s">
        <v>86</v>
      </c>
      <c r="D10" s="44">
        <f>IF(IFERROR(SEARCH("отсутствуют", C10), 0) &gt; 0, 10, IF(IFERROR(SEARCH("имеются", C10), 0) &gt; 0, 0, ))</f>
        <v>0</v>
      </c>
      <c r="F10">
        <v>10</v>
      </c>
      <c r="G10" t="s">
        <v>85</v>
      </c>
    </row>
    <row r="11" spans="1:21" ht="24.75" customHeight="1" thickBot="1">
      <c r="A11" s="40"/>
      <c r="B11" s="45"/>
      <c r="C11" s="45"/>
      <c r="D11" s="45"/>
      <c r="F11">
        <v>0</v>
      </c>
      <c r="G11" s="13" t="s">
        <v>86</v>
      </c>
    </row>
    <row r="12" spans="1:21" ht="18" customHeight="1" thickBot="1">
      <c r="A12" s="39" t="s">
        <v>9</v>
      </c>
      <c r="B12" s="44" t="s">
        <v>10</v>
      </c>
      <c r="C12" s="44" t="s">
        <v>87</v>
      </c>
      <c r="D12" s="44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>5</v>
      </c>
      <c r="F12">
        <v>5</v>
      </c>
      <c r="G12" s="14" t="s">
        <v>87</v>
      </c>
    </row>
    <row r="13" spans="1:21" ht="15.75">
      <c r="A13" s="51"/>
      <c r="B13" s="52"/>
      <c r="C13" s="52"/>
      <c r="D13" s="52"/>
      <c r="F13">
        <v>3</v>
      </c>
      <c r="G13" s="13" t="s">
        <v>88</v>
      </c>
    </row>
    <row r="14" spans="1:21" ht="16.5" thickBot="1">
      <c r="A14" s="40"/>
      <c r="B14" s="45"/>
      <c r="C14" s="45"/>
      <c r="D14" s="45"/>
      <c r="F14">
        <v>0</v>
      </c>
      <c r="G14" s="13" t="s">
        <v>89</v>
      </c>
    </row>
    <row r="15" spans="1:21" ht="15.75">
      <c r="A15" s="39" t="s">
        <v>11</v>
      </c>
      <c r="B15" s="44" t="s">
        <v>12</v>
      </c>
      <c r="C15" s="41" t="s">
        <v>90</v>
      </c>
      <c r="D15" s="44">
        <f>IF(IFERROR(SEARCH("Отсутствуют", C15), 0) &gt; 0, 5, IF(IFERROR(SEARCH("Наличие одного", C15), 0) &gt; 0, 3, IF(IFERROR(SEARCH("Наличие двух", C15), 0) &gt; 0, 0,)))</f>
        <v>5</v>
      </c>
      <c r="F15">
        <v>5</v>
      </c>
      <c r="G15" s="19" t="s">
        <v>90</v>
      </c>
    </row>
    <row r="16" spans="1:21" ht="15.75">
      <c r="A16" s="51"/>
      <c r="B16" s="52"/>
      <c r="C16" s="53"/>
      <c r="D16" s="52"/>
      <c r="F16">
        <v>3</v>
      </c>
      <c r="G16" s="13" t="s">
        <v>91</v>
      </c>
    </row>
    <row r="17" spans="1:7" ht="92.25" customHeight="1" thickBot="1">
      <c r="A17" s="40"/>
      <c r="B17" s="45"/>
      <c r="C17" s="43"/>
      <c r="D17" s="45"/>
      <c r="F17">
        <v>0</v>
      </c>
      <c r="G17" s="13" t="s">
        <v>92</v>
      </c>
    </row>
    <row r="18" spans="1:7" ht="15" customHeight="1" thickBot="1">
      <c r="A18" s="39" t="s">
        <v>13</v>
      </c>
      <c r="B18" s="44" t="s">
        <v>14</v>
      </c>
      <c r="C18" s="41" t="s">
        <v>93</v>
      </c>
      <c r="D18" s="44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>10</v>
      </c>
      <c r="F18">
        <v>10</v>
      </c>
      <c r="G18" s="13" t="s">
        <v>93</v>
      </c>
    </row>
    <row r="19" spans="1:7" ht="15" customHeight="1" thickBot="1">
      <c r="A19" s="51"/>
      <c r="B19" s="52"/>
      <c r="C19" s="53"/>
      <c r="D19" s="52"/>
      <c r="F19">
        <v>2</v>
      </c>
      <c r="G19" s="14" t="s">
        <v>94</v>
      </c>
    </row>
    <row r="20" spans="1:7" ht="57" customHeight="1" thickBot="1">
      <c r="A20" s="40"/>
      <c r="B20" s="45"/>
      <c r="C20" s="43"/>
      <c r="D20" s="45"/>
      <c r="F20">
        <v>0</v>
      </c>
      <c r="G20" s="13" t="s">
        <v>95</v>
      </c>
    </row>
    <row r="21" spans="1:7" ht="15.75">
      <c r="A21" s="39" t="s">
        <v>15</v>
      </c>
      <c r="B21" s="44" t="s">
        <v>16</v>
      </c>
      <c r="C21" s="41" t="s">
        <v>96</v>
      </c>
      <c r="D21" s="44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>5</v>
      </c>
      <c r="F21">
        <v>5</v>
      </c>
      <c r="G21" s="13" t="s">
        <v>96</v>
      </c>
    </row>
    <row r="22" spans="1:7" ht="42.75" customHeight="1" thickBot="1">
      <c r="A22" s="40"/>
      <c r="B22" s="45"/>
      <c r="C22" s="43"/>
      <c r="D22" s="45"/>
      <c r="F22">
        <v>0</v>
      </c>
      <c r="G22" s="13" t="s">
        <v>97</v>
      </c>
    </row>
    <row r="23" spans="1:7" ht="15.75">
      <c r="A23" s="39" t="s">
        <v>17</v>
      </c>
      <c r="B23" s="44" t="s">
        <v>18</v>
      </c>
      <c r="C23" s="41" t="s">
        <v>19</v>
      </c>
      <c r="D23" s="44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>10</v>
      </c>
      <c r="F23">
        <v>10</v>
      </c>
      <c r="G23" s="13" t="s">
        <v>19</v>
      </c>
    </row>
    <row r="24" spans="1:7" ht="15.75">
      <c r="A24" s="51"/>
      <c r="B24" s="52"/>
      <c r="C24" s="53"/>
      <c r="D24" s="52"/>
      <c r="F24">
        <v>5</v>
      </c>
      <c r="G24" s="13" t="s">
        <v>98</v>
      </c>
    </row>
    <row r="25" spans="1:7" ht="82.5" customHeight="1" thickBot="1">
      <c r="A25" s="40"/>
      <c r="B25" s="45"/>
      <c r="C25" s="43"/>
      <c r="D25" s="45"/>
      <c r="F25">
        <v>0</v>
      </c>
      <c r="G25" s="13" t="s">
        <v>99</v>
      </c>
    </row>
    <row r="26" spans="1:7" ht="15.75">
      <c r="A26" s="39" t="s">
        <v>20</v>
      </c>
      <c r="B26" s="44" t="s">
        <v>21</v>
      </c>
      <c r="C26" s="41" t="s">
        <v>22</v>
      </c>
      <c r="D26" s="44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>3</v>
      </c>
      <c r="F26">
        <v>3</v>
      </c>
      <c r="G26" s="13" t="s">
        <v>22</v>
      </c>
    </row>
    <row r="27" spans="1:7" ht="41.25" customHeight="1" thickBot="1">
      <c r="A27" s="40"/>
      <c r="B27" s="45"/>
      <c r="C27" s="43"/>
      <c r="D27" s="45"/>
      <c r="F27">
        <v>0</v>
      </c>
      <c r="G27" s="13" t="s">
        <v>100</v>
      </c>
    </row>
    <row r="28" spans="1:7" ht="15.75">
      <c r="A28" s="39" t="s">
        <v>23</v>
      </c>
      <c r="B28" s="44" t="s">
        <v>24</v>
      </c>
      <c r="C28" s="41" t="s">
        <v>101</v>
      </c>
      <c r="D28" s="44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>5</v>
      </c>
      <c r="F28">
        <v>5</v>
      </c>
      <c r="G28" s="13" t="s">
        <v>101</v>
      </c>
    </row>
    <row r="29" spans="1:7" ht="15.75">
      <c r="A29" s="51"/>
      <c r="B29" s="52"/>
      <c r="C29" s="53"/>
      <c r="D29" s="52"/>
      <c r="F29">
        <v>3</v>
      </c>
      <c r="G29" s="13" t="s">
        <v>102</v>
      </c>
    </row>
    <row r="30" spans="1:7" ht="61.5" customHeight="1" thickBot="1">
      <c r="A30" s="40"/>
      <c r="B30" s="45"/>
      <c r="C30" s="43"/>
      <c r="D30" s="45"/>
      <c r="F30">
        <v>0</v>
      </c>
      <c r="G30" s="13" t="s">
        <v>103</v>
      </c>
    </row>
    <row r="31" spans="1:7" ht="15.75">
      <c r="A31" s="39" t="s">
        <v>25</v>
      </c>
      <c r="B31" s="44" t="s">
        <v>26</v>
      </c>
      <c r="C31" s="41" t="s">
        <v>104</v>
      </c>
      <c r="D31" s="44">
        <f>IF(IFERROR(SEARCH("Отсутствуют нарушения ТБ", C31), 0) &gt; 0, 10, IF(IFERROR(SEARCH("Имелись нарушения ТБ", C31), 0) &gt; 0, 0, ))</f>
        <v>10</v>
      </c>
      <c r="F31">
        <v>10</v>
      </c>
      <c r="G31" s="13" t="s">
        <v>104</v>
      </c>
    </row>
    <row r="32" spans="1:7" ht="33.75" customHeight="1" thickBot="1">
      <c r="A32" s="40"/>
      <c r="B32" s="45"/>
      <c r="C32" s="43"/>
      <c r="D32" s="45"/>
      <c r="F32">
        <v>0</v>
      </c>
      <c r="G32" s="13" t="s">
        <v>105</v>
      </c>
    </row>
    <row r="33" spans="1:7" ht="15.75">
      <c r="A33" s="39" t="s">
        <v>27</v>
      </c>
      <c r="B33" s="44" t="s">
        <v>28</v>
      </c>
      <c r="C33" s="41" t="s">
        <v>52</v>
      </c>
      <c r="D33" s="44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>10</v>
      </c>
      <c r="F33">
        <v>10</v>
      </c>
      <c r="G33" s="13" t="s">
        <v>52</v>
      </c>
    </row>
    <row r="34" spans="1:7" ht="15.75">
      <c r="A34" s="51"/>
      <c r="B34" s="52"/>
      <c r="C34" s="53"/>
      <c r="D34" s="52"/>
      <c r="F34">
        <v>5</v>
      </c>
      <c r="G34" s="13" t="s">
        <v>106</v>
      </c>
    </row>
    <row r="35" spans="1:7" ht="18" customHeight="1" thickBot="1">
      <c r="A35" s="40"/>
      <c r="B35" s="45"/>
      <c r="C35" s="43"/>
      <c r="D35" s="45"/>
      <c r="F35">
        <v>0</v>
      </c>
      <c r="G35" s="13" t="s">
        <v>107</v>
      </c>
    </row>
    <row r="36" spans="1:7" ht="15.75">
      <c r="A36" s="39" t="s">
        <v>29</v>
      </c>
      <c r="B36" s="44" t="s">
        <v>30</v>
      </c>
      <c r="C36" s="41" t="s">
        <v>31</v>
      </c>
      <c r="D36" s="44">
        <f>IF(IFERROR(SEARCH("Материальные средства ", C36), 0) &gt; 0, 5, IF(IFERROR(SEARCH("Не выполнены ", C36), 0) &gt; 0, 0, ))</f>
        <v>5</v>
      </c>
      <c r="F36">
        <v>5</v>
      </c>
      <c r="G36" s="13" t="s">
        <v>31</v>
      </c>
    </row>
    <row r="37" spans="1:7" ht="45" customHeight="1" thickBot="1">
      <c r="A37" s="40"/>
      <c r="B37" s="45"/>
      <c r="C37" s="43"/>
      <c r="D37" s="45"/>
      <c r="F37">
        <v>0</v>
      </c>
      <c r="G37" s="13" t="s">
        <v>110</v>
      </c>
    </row>
    <row r="38" spans="1:7" ht="15.75">
      <c r="A38" s="39" t="s">
        <v>32</v>
      </c>
      <c r="B38" s="44" t="s">
        <v>33</v>
      </c>
      <c r="C38" s="41" t="s">
        <v>108</v>
      </c>
      <c r="D38" s="44">
        <f>IF(IFERROR(SEARCH("5", C38), 0) &gt; 0, 2, IF(IFERROR(SEARCH("4", C38), 0) &gt; 0, 1, ))</f>
        <v>2</v>
      </c>
      <c r="F38">
        <v>2</v>
      </c>
      <c r="G38" s="13" t="s">
        <v>108</v>
      </c>
    </row>
    <row r="39" spans="1:7" ht="103.5" customHeight="1" thickBot="1">
      <c r="A39" s="40"/>
      <c r="B39" s="45"/>
      <c r="C39" s="43"/>
      <c r="D39" s="45"/>
      <c r="F39">
        <v>1</v>
      </c>
      <c r="G39" s="13" t="s">
        <v>109</v>
      </c>
    </row>
    <row r="40" spans="1:7">
      <c r="A40" s="46" t="s">
        <v>34</v>
      </c>
      <c r="B40" s="47"/>
      <c r="C40" s="66"/>
      <c r="D40" s="68">
        <f>SUM(D7:D39)</f>
        <v>70</v>
      </c>
      <c r="E40" s="65"/>
    </row>
    <row r="41" spans="1:7" ht="15.75" thickBot="1">
      <c r="A41" s="48"/>
      <c r="B41" s="49"/>
      <c r="C41" s="67"/>
      <c r="D41" s="69"/>
      <c r="E41" s="65"/>
    </row>
    <row r="43" spans="1:7" ht="20.25">
      <c r="A43" s="37" t="s">
        <v>35</v>
      </c>
      <c r="B43" s="37"/>
      <c r="C43" s="37"/>
      <c r="D43" s="5"/>
      <c r="E43" s="5"/>
    </row>
    <row r="44" spans="1:7" ht="20.25">
      <c r="A44" s="37"/>
      <c r="B44" s="37"/>
      <c r="C44" s="37"/>
      <c r="D44" s="6"/>
      <c r="E44" s="6"/>
    </row>
    <row r="45" spans="1:7" ht="20.25">
      <c r="A45" s="5"/>
      <c r="B45" s="5"/>
      <c r="C45" s="5" t="s">
        <v>36</v>
      </c>
      <c r="D45" s="5"/>
      <c r="E45" s="5"/>
    </row>
    <row r="46" spans="1:7" ht="20.25">
      <c r="A46" s="5"/>
      <c r="B46" s="5"/>
      <c r="C46" s="5" t="s">
        <v>289</v>
      </c>
    </row>
  </sheetData>
  <mergeCells count="63">
    <mergeCell ref="A1:E1"/>
    <mergeCell ref="A2:E2"/>
    <mergeCell ref="A3:E3"/>
    <mergeCell ref="A4:E4"/>
    <mergeCell ref="B5:B6"/>
    <mergeCell ref="C5:C6"/>
    <mergeCell ref="D5:D6"/>
    <mergeCell ref="A7:A9"/>
    <mergeCell ref="B7:B9"/>
    <mergeCell ref="C7:C9"/>
    <mergeCell ref="D7:D9"/>
    <mergeCell ref="A10:A11"/>
    <mergeCell ref="B10:B11"/>
    <mergeCell ref="C10:C11"/>
    <mergeCell ref="D10:D11"/>
    <mergeCell ref="A12:A14"/>
    <mergeCell ref="B12:B14"/>
    <mergeCell ref="C12:C14"/>
    <mergeCell ref="D12:D14"/>
    <mergeCell ref="A15:A17"/>
    <mergeCell ref="B15:B17"/>
    <mergeCell ref="C15:C17"/>
    <mergeCell ref="D15:D17"/>
    <mergeCell ref="A18:A20"/>
    <mergeCell ref="B18:B20"/>
    <mergeCell ref="C18:C20"/>
    <mergeCell ref="D18:D20"/>
    <mergeCell ref="A21:A22"/>
    <mergeCell ref="B21:B22"/>
    <mergeCell ref="C21:C22"/>
    <mergeCell ref="D21:D22"/>
    <mergeCell ref="A23:A25"/>
    <mergeCell ref="B23:B25"/>
    <mergeCell ref="C23:C25"/>
    <mergeCell ref="D23:D25"/>
    <mergeCell ref="A26:A27"/>
    <mergeCell ref="B26:B27"/>
    <mergeCell ref="C26:C27"/>
    <mergeCell ref="D26:D27"/>
    <mergeCell ref="A28:A30"/>
    <mergeCell ref="B28:B30"/>
    <mergeCell ref="C28:C30"/>
    <mergeCell ref="D28:D30"/>
    <mergeCell ref="A31:A32"/>
    <mergeCell ref="B31:B32"/>
    <mergeCell ref="C31:C32"/>
    <mergeCell ref="D31:D32"/>
    <mergeCell ref="A33:A35"/>
    <mergeCell ref="B33:B35"/>
    <mergeCell ref="C33:C35"/>
    <mergeCell ref="D33:D35"/>
    <mergeCell ref="A36:A37"/>
    <mergeCell ref="B36:B37"/>
    <mergeCell ref="C36:C37"/>
    <mergeCell ref="D36:D37"/>
    <mergeCell ref="E40:E41"/>
    <mergeCell ref="A43:C44"/>
    <mergeCell ref="A38:A39"/>
    <mergeCell ref="B38:B39"/>
    <mergeCell ref="C38:C39"/>
    <mergeCell ref="D38:D39"/>
    <mergeCell ref="A40:C41"/>
    <mergeCell ref="D40:D41"/>
  </mergeCells>
  <dataValidations count="13">
    <dataValidation type="list" allowBlank="1" showInputMessage="1" showErrorMessage="1" sqref="C7:C9">
      <formula1>$G$7:$G$9</formula1>
    </dataValidation>
    <dataValidation type="list" allowBlank="1" showInputMessage="1" showErrorMessage="1" sqref="C10:C11">
      <formula1>$G$10:$G$11</formula1>
    </dataValidation>
    <dataValidation type="list" allowBlank="1" showInputMessage="1" showErrorMessage="1" sqref="C12:C14">
      <formula1>$G$12:$G$14</formula1>
    </dataValidation>
    <dataValidation type="list" allowBlank="1" showInputMessage="1" showErrorMessage="1" sqref="C15:C17">
      <formula1>$G$15:$G$17</formula1>
    </dataValidation>
    <dataValidation type="list" allowBlank="1" showInputMessage="1" showErrorMessage="1" sqref="C18:C20">
      <formula1>$G$18:$G$20</formula1>
    </dataValidation>
    <dataValidation type="list" allowBlank="1" showInputMessage="1" showErrorMessage="1" sqref="C21:C22">
      <formula1>$G$21:$G$22</formula1>
    </dataValidation>
    <dataValidation type="list" allowBlank="1" showInputMessage="1" showErrorMessage="1" sqref="C23:C25">
      <formula1>$G$23:$G$25</formula1>
    </dataValidation>
    <dataValidation type="list" allowBlank="1" showInputMessage="1" showErrorMessage="1" sqref="C26:C27">
      <formula1>$G$26:$G$27</formula1>
    </dataValidation>
    <dataValidation type="list" allowBlank="1" showInputMessage="1" showErrorMessage="1" sqref="C28:C30">
      <formula1>$G$28:$G$30</formula1>
    </dataValidation>
    <dataValidation type="list" allowBlank="1" showInputMessage="1" showErrorMessage="1" sqref="C31:C32">
      <formula1>$G$31:$G$32</formula1>
    </dataValidation>
    <dataValidation type="list" allowBlank="1" showInputMessage="1" showErrorMessage="1" sqref="C33:C35">
      <formula1>$G$33:$G$35</formula1>
    </dataValidation>
    <dataValidation type="list" allowBlank="1" showInputMessage="1" showErrorMessage="1" sqref="C36:C37">
      <formula1>$G$36:$G$37</formula1>
    </dataValidation>
    <dataValidation type="list" allowBlank="1" showInputMessage="1" showErrorMessage="1" sqref="C38:C39">
      <formula1>$G$38:$G$39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sheetPr>
    <tabColor rgb="FFFFFF00"/>
  </sheetPr>
  <dimension ref="A1:U46"/>
  <sheetViews>
    <sheetView zoomScale="55" zoomScaleNormal="55" workbookViewId="0">
      <selection activeCell="C31" sqref="C31:C32"/>
    </sheetView>
  </sheetViews>
  <sheetFormatPr defaultRowHeight="15"/>
  <cols>
    <col min="2" max="2" width="26" customWidth="1"/>
    <col min="3" max="3" width="58.5703125" customWidth="1"/>
    <col min="4" max="4" width="28.42578125" customWidth="1"/>
    <col min="5" max="5" width="24.140625" hidden="1" customWidth="1"/>
    <col min="6" max="6" width="24" hidden="1" customWidth="1"/>
    <col min="7" max="7" width="1.85546875" hidden="1" customWidth="1"/>
    <col min="8" max="8" width="18.42578125" customWidth="1"/>
  </cols>
  <sheetData>
    <row r="1" spans="1:21" ht="20.25">
      <c r="A1" s="56" t="s">
        <v>0</v>
      </c>
      <c r="B1" s="56"/>
      <c r="C1" s="56"/>
      <c r="D1" s="56"/>
      <c r="E1" s="56"/>
    </row>
    <row r="2" spans="1:21" ht="18.75">
      <c r="A2" s="57" t="s">
        <v>1</v>
      </c>
      <c r="B2" s="57"/>
      <c r="C2" s="57"/>
      <c r="D2" s="57"/>
      <c r="E2" s="57"/>
    </row>
    <row r="3" spans="1:21" ht="18.75" customHeight="1">
      <c r="A3" s="58" t="s">
        <v>301</v>
      </c>
      <c r="B3" s="57"/>
      <c r="C3" s="57"/>
      <c r="D3" s="57"/>
      <c r="E3" s="57"/>
    </row>
    <row r="4" spans="1:21" ht="16.5" thickBot="1">
      <c r="A4" s="59"/>
      <c r="B4" s="59"/>
      <c r="C4" s="59"/>
      <c r="D4" s="59"/>
      <c r="E4" s="59"/>
    </row>
    <row r="5" spans="1:21" ht="15.75">
      <c r="A5" s="2" t="s">
        <v>3</v>
      </c>
      <c r="B5" s="60" t="s">
        <v>54</v>
      </c>
      <c r="C5" s="60" t="s">
        <v>55</v>
      </c>
      <c r="D5" s="60" t="s">
        <v>42</v>
      </c>
    </row>
    <row r="6" spans="1:21" ht="16.5" thickBot="1">
      <c r="A6" s="4" t="s">
        <v>4</v>
      </c>
      <c r="B6" s="61"/>
      <c r="C6" s="61"/>
      <c r="D6" s="61"/>
    </row>
    <row r="7" spans="1:21" ht="13.5" customHeight="1">
      <c r="A7" s="39" t="s">
        <v>5</v>
      </c>
      <c r="B7" s="44" t="s">
        <v>6</v>
      </c>
      <c r="C7" s="44" t="s">
        <v>84</v>
      </c>
      <c r="D7" s="44">
        <f>IF(IFERROR(SEARCH("подразделения ≥ 4,5", C7), 0) &gt; 0, 5, IF(IFERROR(SEARCH("подразделения ≥ 4,0", C7), 0) &gt; 0, 3, IF(IFERROR(SEARCH("&lt;", C7), 0) &gt; 0, 0,)))</f>
        <v>0</v>
      </c>
      <c r="F7">
        <v>5</v>
      </c>
      <c r="G7" s="16" t="s">
        <v>82</v>
      </c>
      <c r="N7" s="15"/>
      <c r="U7" s="15"/>
    </row>
    <row r="8" spans="1:21" ht="20.25" customHeight="1">
      <c r="A8" s="51"/>
      <c r="B8" s="54"/>
      <c r="C8" s="52"/>
      <c r="D8" s="52"/>
      <c r="F8">
        <v>3</v>
      </c>
      <c r="G8" s="17" t="s">
        <v>83</v>
      </c>
      <c r="N8" s="13"/>
      <c r="U8" s="13"/>
    </row>
    <row r="9" spans="1:21" ht="18" customHeight="1" thickBot="1">
      <c r="A9" s="40"/>
      <c r="B9" s="55"/>
      <c r="C9" s="45"/>
      <c r="D9" s="45"/>
      <c r="F9">
        <v>0</v>
      </c>
      <c r="G9" s="18" t="s">
        <v>84</v>
      </c>
    </row>
    <row r="10" spans="1:21">
      <c r="A10" s="39" t="s">
        <v>7</v>
      </c>
      <c r="B10" s="44" t="s">
        <v>8</v>
      </c>
      <c r="C10" s="44" t="s">
        <v>86</v>
      </c>
      <c r="D10" s="44">
        <f>IF(IFERROR(SEARCH("отсутствуют", C10), 0) &gt; 0, 10, IF(IFERROR(SEARCH("имеются", C10), 0) &gt; 0, 0, ))</f>
        <v>0</v>
      </c>
      <c r="F10">
        <v>10</v>
      </c>
      <c r="G10" t="s">
        <v>85</v>
      </c>
    </row>
    <row r="11" spans="1:21" ht="24.75" customHeight="1" thickBot="1">
      <c r="A11" s="40"/>
      <c r="B11" s="45"/>
      <c r="C11" s="45"/>
      <c r="D11" s="45"/>
      <c r="F11">
        <v>0</v>
      </c>
      <c r="G11" s="13" t="s">
        <v>86</v>
      </c>
    </row>
    <row r="12" spans="1:21" ht="18" customHeight="1" thickBot="1">
      <c r="A12" s="39" t="s">
        <v>9</v>
      </c>
      <c r="B12" s="44" t="s">
        <v>10</v>
      </c>
      <c r="C12" s="44" t="s">
        <v>87</v>
      </c>
      <c r="D12" s="44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>5</v>
      </c>
      <c r="F12">
        <v>5</v>
      </c>
      <c r="G12" s="14" t="s">
        <v>87</v>
      </c>
    </row>
    <row r="13" spans="1:21" ht="15.75">
      <c r="A13" s="51"/>
      <c r="B13" s="52"/>
      <c r="C13" s="52"/>
      <c r="D13" s="52"/>
      <c r="F13">
        <v>3</v>
      </c>
      <c r="G13" s="13" t="s">
        <v>88</v>
      </c>
    </row>
    <row r="14" spans="1:21" ht="16.5" thickBot="1">
      <c r="A14" s="40"/>
      <c r="B14" s="45"/>
      <c r="C14" s="45"/>
      <c r="D14" s="45"/>
      <c r="F14">
        <v>0</v>
      </c>
      <c r="G14" s="13" t="s">
        <v>89</v>
      </c>
    </row>
    <row r="15" spans="1:21" ht="15.75">
      <c r="A15" s="39" t="s">
        <v>11</v>
      </c>
      <c r="B15" s="44" t="s">
        <v>12</v>
      </c>
      <c r="C15" s="41" t="s">
        <v>90</v>
      </c>
      <c r="D15" s="44">
        <f>IF(IFERROR(SEARCH("Отсутствуют", C15), 0) &gt; 0, 5, IF(IFERROR(SEARCH("Наличие одного", C15), 0) &gt; 0, 3, IF(IFERROR(SEARCH("Наличие двух", C15), 0) &gt; 0, 0,)))</f>
        <v>5</v>
      </c>
      <c r="F15">
        <v>5</v>
      </c>
      <c r="G15" s="19" t="s">
        <v>90</v>
      </c>
    </row>
    <row r="16" spans="1:21" ht="15.75">
      <c r="A16" s="51"/>
      <c r="B16" s="52"/>
      <c r="C16" s="53"/>
      <c r="D16" s="52"/>
      <c r="F16">
        <v>3</v>
      </c>
      <c r="G16" s="13" t="s">
        <v>91</v>
      </c>
    </row>
    <row r="17" spans="1:7" ht="92.25" customHeight="1" thickBot="1">
      <c r="A17" s="40"/>
      <c r="B17" s="45"/>
      <c r="C17" s="43"/>
      <c r="D17" s="45"/>
      <c r="F17">
        <v>0</v>
      </c>
      <c r="G17" s="13" t="s">
        <v>92</v>
      </c>
    </row>
    <row r="18" spans="1:7" ht="15" customHeight="1" thickBot="1">
      <c r="A18" s="39" t="s">
        <v>13</v>
      </c>
      <c r="B18" s="44" t="s">
        <v>14</v>
      </c>
      <c r="C18" s="41" t="s">
        <v>93</v>
      </c>
      <c r="D18" s="44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>10</v>
      </c>
      <c r="F18">
        <v>10</v>
      </c>
      <c r="G18" s="13" t="s">
        <v>93</v>
      </c>
    </row>
    <row r="19" spans="1:7" ht="15" customHeight="1" thickBot="1">
      <c r="A19" s="51"/>
      <c r="B19" s="52"/>
      <c r="C19" s="53"/>
      <c r="D19" s="52"/>
      <c r="F19">
        <v>2</v>
      </c>
      <c r="G19" s="14" t="s">
        <v>94</v>
      </c>
    </row>
    <row r="20" spans="1:7" ht="57" customHeight="1" thickBot="1">
      <c r="A20" s="40"/>
      <c r="B20" s="45"/>
      <c r="C20" s="43"/>
      <c r="D20" s="45"/>
      <c r="F20">
        <v>0</v>
      </c>
      <c r="G20" s="13" t="s">
        <v>95</v>
      </c>
    </row>
    <row r="21" spans="1:7" ht="15.75">
      <c r="A21" s="39" t="s">
        <v>15</v>
      </c>
      <c r="B21" s="44" t="s">
        <v>16</v>
      </c>
      <c r="C21" s="41" t="s">
        <v>96</v>
      </c>
      <c r="D21" s="44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>5</v>
      </c>
      <c r="F21">
        <v>5</v>
      </c>
      <c r="G21" s="13" t="s">
        <v>96</v>
      </c>
    </row>
    <row r="22" spans="1:7" ht="42.75" customHeight="1" thickBot="1">
      <c r="A22" s="40"/>
      <c r="B22" s="45"/>
      <c r="C22" s="43"/>
      <c r="D22" s="45"/>
      <c r="F22">
        <v>0</v>
      </c>
      <c r="G22" s="13" t="s">
        <v>97</v>
      </c>
    </row>
    <row r="23" spans="1:7" ht="15.75">
      <c r="A23" s="39" t="s">
        <v>17</v>
      </c>
      <c r="B23" s="44" t="s">
        <v>18</v>
      </c>
      <c r="C23" s="41" t="s">
        <v>19</v>
      </c>
      <c r="D23" s="44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>10</v>
      </c>
      <c r="F23">
        <v>10</v>
      </c>
      <c r="G23" s="13" t="s">
        <v>19</v>
      </c>
    </row>
    <row r="24" spans="1:7" ht="15.75">
      <c r="A24" s="51"/>
      <c r="B24" s="52"/>
      <c r="C24" s="53"/>
      <c r="D24" s="52"/>
      <c r="F24">
        <v>5</v>
      </c>
      <c r="G24" s="13" t="s">
        <v>98</v>
      </c>
    </row>
    <row r="25" spans="1:7" ht="82.5" customHeight="1" thickBot="1">
      <c r="A25" s="40"/>
      <c r="B25" s="45"/>
      <c r="C25" s="43"/>
      <c r="D25" s="45"/>
      <c r="F25">
        <v>0</v>
      </c>
      <c r="G25" s="13" t="s">
        <v>99</v>
      </c>
    </row>
    <row r="26" spans="1:7" ht="15.75">
      <c r="A26" s="39" t="s">
        <v>20</v>
      </c>
      <c r="B26" s="44" t="s">
        <v>21</v>
      </c>
      <c r="C26" s="41" t="s">
        <v>22</v>
      </c>
      <c r="D26" s="44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>3</v>
      </c>
      <c r="F26">
        <v>3</v>
      </c>
      <c r="G26" s="13" t="s">
        <v>22</v>
      </c>
    </row>
    <row r="27" spans="1:7" ht="41.25" customHeight="1" thickBot="1">
      <c r="A27" s="40"/>
      <c r="B27" s="45"/>
      <c r="C27" s="43"/>
      <c r="D27" s="45"/>
      <c r="F27">
        <v>0</v>
      </c>
      <c r="G27" s="13" t="s">
        <v>100</v>
      </c>
    </row>
    <row r="28" spans="1:7" ht="15.75">
      <c r="A28" s="39" t="s">
        <v>23</v>
      </c>
      <c r="B28" s="44" t="s">
        <v>24</v>
      </c>
      <c r="C28" s="41" t="s">
        <v>101</v>
      </c>
      <c r="D28" s="44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>5</v>
      </c>
      <c r="F28">
        <v>5</v>
      </c>
      <c r="G28" s="13" t="s">
        <v>101</v>
      </c>
    </row>
    <row r="29" spans="1:7" ht="15.75">
      <c r="A29" s="51"/>
      <c r="B29" s="52"/>
      <c r="C29" s="53"/>
      <c r="D29" s="52"/>
      <c r="F29">
        <v>3</v>
      </c>
      <c r="G29" s="13" t="s">
        <v>102</v>
      </c>
    </row>
    <row r="30" spans="1:7" ht="61.5" customHeight="1" thickBot="1">
      <c r="A30" s="40"/>
      <c r="B30" s="45"/>
      <c r="C30" s="43"/>
      <c r="D30" s="45"/>
      <c r="F30">
        <v>0</v>
      </c>
      <c r="G30" s="13" t="s">
        <v>103</v>
      </c>
    </row>
    <row r="31" spans="1:7" ht="15.75">
      <c r="A31" s="39" t="s">
        <v>25</v>
      </c>
      <c r="B31" s="44" t="s">
        <v>26</v>
      </c>
      <c r="C31" s="41" t="s">
        <v>104</v>
      </c>
      <c r="D31" s="44">
        <f>IF(IFERROR(SEARCH("Отсутствуют нарушения ТБ", C31), 0) &gt; 0, 10, IF(IFERROR(SEARCH("Имелись нарушения ТБ", C31), 0) &gt; 0, 0, ))</f>
        <v>10</v>
      </c>
      <c r="F31">
        <v>10</v>
      </c>
      <c r="G31" s="13" t="s">
        <v>104</v>
      </c>
    </row>
    <row r="32" spans="1:7" ht="33.75" customHeight="1" thickBot="1">
      <c r="A32" s="40"/>
      <c r="B32" s="45"/>
      <c r="C32" s="43"/>
      <c r="D32" s="45"/>
      <c r="F32">
        <v>0</v>
      </c>
      <c r="G32" s="13" t="s">
        <v>105</v>
      </c>
    </row>
    <row r="33" spans="1:7" ht="15.75">
      <c r="A33" s="39" t="s">
        <v>27</v>
      </c>
      <c r="B33" s="44" t="s">
        <v>28</v>
      </c>
      <c r="C33" s="41" t="s">
        <v>52</v>
      </c>
      <c r="D33" s="44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>10</v>
      </c>
      <c r="F33">
        <v>10</v>
      </c>
      <c r="G33" s="13" t="s">
        <v>52</v>
      </c>
    </row>
    <row r="34" spans="1:7" ht="15.75">
      <c r="A34" s="51"/>
      <c r="B34" s="52"/>
      <c r="C34" s="53"/>
      <c r="D34" s="52"/>
      <c r="F34">
        <v>5</v>
      </c>
      <c r="G34" s="13" t="s">
        <v>106</v>
      </c>
    </row>
    <row r="35" spans="1:7" ht="18" customHeight="1" thickBot="1">
      <c r="A35" s="40"/>
      <c r="B35" s="45"/>
      <c r="C35" s="43"/>
      <c r="D35" s="45"/>
      <c r="F35">
        <v>0</v>
      </c>
      <c r="G35" s="13" t="s">
        <v>107</v>
      </c>
    </row>
    <row r="36" spans="1:7" ht="15.75">
      <c r="A36" s="39" t="s">
        <v>29</v>
      </c>
      <c r="B36" s="44" t="s">
        <v>30</v>
      </c>
      <c r="C36" s="41" t="s">
        <v>31</v>
      </c>
      <c r="D36" s="44">
        <f>IF(IFERROR(SEARCH("Материальные средства ", C36), 0) &gt; 0, 5, IF(IFERROR(SEARCH("Не выполнены ", C36), 0) &gt; 0, 0, ))</f>
        <v>5</v>
      </c>
      <c r="F36">
        <v>5</v>
      </c>
      <c r="G36" s="13" t="s">
        <v>31</v>
      </c>
    </row>
    <row r="37" spans="1:7" ht="45" customHeight="1" thickBot="1">
      <c r="A37" s="40"/>
      <c r="B37" s="45"/>
      <c r="C37" s="43"/>
      <c r="D37" s="45"/>
      <c r="F37">
        <v>0</v>
      </c>
      <c r="G37" s="13" t="s">
        <v>110</v>
      </c>
    </row>
    <row r="38" spans="1:7" ht="15.75">
      <c r="A38" s="39" t="s">
        <v>32</v>
      </c>
      <c r="B38" s="44" t="s">
        <v>33</v>
      </c>
      <c r="C38" s="41" t="s">
        <v>108</v>
      </c>
      <c r="D38" s="44">
        <f>IF(IFERROR(SEARCH("5", C38), 0) &gt; 0, 2, IF(IFERROR(SEARCH("4", C38), 0) &gt; 0, 1, ))</f>
        <v>2</v>
      </c>
      <c r="F38">
        <v>2</v>
      </c>
      <c r="G38" s="13" t="s">
        <v>108</v>
      </c>
    </row>
    <row r="39" spans="1:7" ht="103.5" customHeight="1" thickBot="1">
      <c r="A39" s="40"/>
      <c r="B39" s="45"/>
      <c r="C39" s="43"/>
      <c r="D39" s="45"/>
      <c r="F39">
        <v>1</v>
      </c>
      <c r="G39" s="13" t="s">
        <v>109</v>
      </c>
    </row>
    <row r="40" spans="1:7">
      <c r="A40" s="46" t="s">
        <v>34</v>
      </c>
      <c r="B40" s="47"/>
      <c r="C40" s="66"/>
      <c r="D40" s="68">
        <f>SUM(D7:D39)</f>
        <v>70</v>
      </c>
      <c r="E40" s="65"/>
    </row>
    <row r="41" spans="1:7" ht="15.75" thickBot="1">
      <c r="A41" s="48"/>
      <c r="B41" s="49"/>
      <c r="C41" s="67"/>
      <c r="D41" s="69"/>
      <c r="E41" s="65"/>
    </row>
    <row r="43" spans="1:7" ht="20.25">
      <c r="A43" s="37" t="s">
        <v>35</v>
      </c>
      <c r="B43" s="37"/>
      <c r="C43" s="37"/>
      <c r="D43" s="5"/>
      <c r="E43" s="5"/>
    </row>
    <row r="44" spans="1:7" ht="20.25">
      <c r="A44" s="37"/>
      <c r="B44" s="37"/>
      <c r="C44" s="37"/>
      <c r="D44" s="6"/>
      <c r="E44" s="6"/>
    </row>
    <row r="45" spans="1:7" ht="20.25">
      <c r="A45" s="5"/>
      <c r="B45" s="5"/>
      <c r="C45" s="5" t="s">
        <v>36</v>
      </c>
      <c r="D45" s="5"/>
      <c r="E45" s="5"/>
    </row>
    <row r="46" spans="1:7" ht="20.25">
      <c r="A46" s="5"/>
      <c r="B46" s="5"/>
      <c r="C46" s="5" t="s">
        <v>289</v>
      </c>
    </row>
  </sheetData>
  <mergeCells count="63">
    <mergeCell ref="A1:E1"/>
    <mergeCell ref="A2:E2"/>
    <mergeCell ref="A3:E3"/>
    <mergeCell ref="A4:E4"/>
    <mergeCell ref="B5:B6"/>
    <mergeCell ref="C5:C6"/>
    <mergeCell ref="D5:D6"/>
    <mergeCell ref="A7:A9"/>
    <mergeCell ref="B7:B9"/>
    <mergeCell ref="C7:C9"/>
    <mergeCell ref="D7:D9"/>
    <mergeCell ref="A10:A11"/>
    <mergeCell ref="B10:B11"/>
    <mergeCell ref="C10:C11"/>
    <mergeCell ref="D10:D11"/>
    <mergeCell ref="A12:A14"/>
    <mergeCell ref="B12:B14"/>
    <mergeCell ref="C12:C14"/>
    <mergeCell ref="D12:D14"/>
    <mergeCell ref="A15:A17"/>
    <mergeCell ref="B15:B17"/>
    <mergeCell ref="C15:C17"/>
    <mergeCell ref="D15:D17"/>
    <mergeCell ref="A18:A20"/>
    <mergeCell ref="B18:B20"/>
    <mergeCell ref="C18:C20"/>
    <mergeCell ref="D18:D20"/>
    <mergeCell ref="A21:A22"/>
    <mergeCell ref="B21:B22"/>
    <mergeCell ref="C21:C22"/>
    <mergeCell ref="D21:D22"/>
    <mergeCell ref="A23:A25"/>
    <mergeCell ref="B23:B25"/>
    <mergeCell ref="C23:C25"/>
    <mergeCell ref="D23:D25"/>
    <mergeCell ref="A26:A27"/>
    <mergeCell ref="B26:B27"/>
    <mergeCell ref="C26:C27"/>
    <mergeCell ref="D26:D27"/>
    <mergeCell ref="A28:A30"/>
    <mergeCell ref="B28:B30"/>
    <mergeCell ref="C28:C30"/>
    <mergeCell ref="D28:D30"/>
    <mergeCell ref="A31:A32"/>
    <mergeCell ref="B31:B32"/>
    <mergeCell ref="C31:C32"/>
    <mergeCell ref="D31:D32"/>
    <mergeCell ref="A33:A35"/>
    <mergeCell ref="B33:B35"/>
    <mergeCell ref="C33:C35"/>
    <mergeCell ref="D33:D35"/>
    <mergeCell ref="A36:A37"/>
    <mergeCell ref="B36:B37"/>
    <mergeCell ref="C36:C37"/>
    <mergeCell ref="D36:D37"/>
    <mergeCell ref="E40:E41"/>
    <mergeCell ref="A43:C44"/>
    <mergeCell ref="A38:A39"/>
    <mergeCell ref="B38:B39"/>
    <mergeCell ref="C38:C39"/>
    <mergeCell ref="D38:D39"/>
    <mergeCell ref="A40:C41"/>
    <mergeCell ref="D40:D41"/>
  </mergeCells>
  <dataValidations count="13">
    <dataValidation type="list" allowBlank="1" showInputMessage="1" showErrorMessage="1" sqref="C38:C39">
      <formula1>$G$38:$G$39</formula1>
    </dataValidation>
    <dataValidation type="list" allowBlank="1" showInputMessage="1" showErrorMessage="1" sqref="C36:C37">
      <formula1>$G$36:$G$37</formula1>
    </dataValidation>
    <dataValidation type="list" allowBlank="1" showInputMessage="1" showErrorMessage="1" sqref="C33:C35">
      <formula1>$G$33:$G$35</formula1>
    </dataValidation>
    <dataValidation type="list" allowBlank="1" showInputMessage="1" showErrorMessage="1" sqref="C31:C32">
      <formula1>$G$31:$G$32</formula1>
    </dataValidation>
    <dataValidation type="list" allowBlank="1" showInputMessage="1" showErrorMessage="1" sqref="C28:C30">
      <formula1>$G$28:$G$30</formula1>
    </dataValidation>
    <dataValidation type="list" allowBlank="1" showInputMessage="1" showErrorMessage="1" sqref="C26:C27">
      <formula1>$G$26:$G$27</formula1>
    </dataValidation>
    <dataValidation type="list" allowBlank="1" showInputMessage="1" showErrorMessage="1" sqref="C23:C25">
      <formula1>$G$23:$G$25</formula1>
    </dataValidation>
    <dataValidation type="list" allowBlank="1" showInputMessage="1" showErrorMessage="1" sqref="C21:C22">
      <formula1>$G$21:$G$22</formula1>
    </dataValidation>
    <dataValidation type="list" allowBlank="1" showInputMessage="1" showErrorMessage="1" sqref="C18:C20">
      <formula1>$G$18:$G$20</formula1>
    </dataValidation>
    <dataValidation type="list" allowBlank="1" showInputMessage="1" showErrorMessage="1" sqref="C15:C17">
      <formula1>$G$15:$G$17</formula1>
    </dataValidation>
    <dataValidation type="list" allowBlank="1" showInputMessage="1" showErrorMessage="1" sqref="C12:C14">
      <formula1>$G$12:$G$14</formula1>
    </dataValidation>
    <dataValidation type="list" allowBlank="1" showInputMessage="1" showErrorMessage="1" sqref="C10:C11">
      <formula1>$G$10:$G$11</formula1>
    </dataValidation>
    <dataValidation type="list" allowBlank="1" showInputMessage="1" showErrorMessage="1" sqref="C7:C9">
      <formula1>$G$7:$G$9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sheetPr>
    <tabColor rgb="FFFFFF00"/>
  </sheetPr>
  <dimension ref="A1:L56"/>
  <sheetViews>
    <sheetView zoomScale="70" zoomScaleNormal="70" workbookViewId="0">
      <selection activeCell="G1" sqref="G1:L1048576"/>
    </sheetView>
  </sheetViews>
  <sheetFormatPr defaultRowHeight="15"/>
  <cols>
    <col min="2" max="2" width="26" customWidth="1"/>
    <col min="3" max="3" width="58.5703125" customWidth="1"/>
    <col min="4" max="4" width="28.5703125" customWidth="1"/>
    <col min="5" max="5" width="0.140625" customWidth="1"/>
    <col min="6" max="6" width="0.42578125" customWidth="1"/>
    <col min="7" max="11" width="9.140625" hidden="1" customWidth="1"/>
    <col min="12" max="12" width="12" hidden="1" customWidth="1"/>
    <col min="13" max="13" width="9.140625" customWidth="1"/>
  </cols>
  <sheetData>
    <row r="1" spans="1:12" ht="20.25">
      <c r="A1" s="56" t="s">
        <v>0</v>
      </c>
      <c r="B1" s="56"/>
      <c r="C1" s="56"/>
      <c r="D1" s="56"/>
      <c r="E1" s="56"/>
    </row>
    <row r="2" spans="1:12" ht="18.75">
      <c r="A2" s="57" t="s">
        <v>1</v>
      </c>
      <c r="B2" s="57"/>
      <c r="C2" s="57"/>
      <c r="D2" s="57"/>
      <c r="E2" s="57"/>
    </row>
    <row r="3" spans="1:12" ht="18.75" customHeight="1">
      <c r="A3" s="58" t="s">
        <v>300</v>
      </c>
      <c r="B3" s="57"/>
      <c r="C3" s="57"/>
      <c r="D3" s="57"/>
      <c r="E3" s="57"/>
    </row>
    <row r="4" spans="1:12" ht="16.5" thickBot="1">
      <c r="A4" s="59"/>
      <c r="B4" s="59"/>
      <c r="C4" s="59"/>
      <c r="D4" s="59"/>
      <c r="E4" s="59"/>
    </row>
    <row r="5" spans="1:12" ht="15.75" customHeight="1">
      <c r="A5" s="2" t="s">
        <v>3</v>
      </c>
      <c r="B5" s="60" t="s">
        <v>54</v>
      </c>
      <c r="C5" s="60" t="s">
        <v>55</v>
      </c>
      <c r="D5" s="60" t="s">
        <v>42</v>
      </c>
    </row>
    <row r="6" spans="1:12" ht="16.5" thickBot="1">
      <c r="A6" s="4" t="s">
        <v>4</v>
      </c>
      <c r="B6" s="61"/>
      <c r="C6" s="61"/>
      <c r="D6" s="61"/>
    </row>
    <row r="7" spans="1:12" ht="15" customHeight="1">
      <c r="A7" s="39" t="s">
        <v>5</v>
      </c>
      <c r="B7" s="44" t="s">
        <v>6</v>
      </c>
      <c r="C7" s="44" t="s">
        <v>345</v>
      </c>
      <c r="D7" s="44">
        <f>IF(IFERROR(SEARCH("подразделения ≥ 4,5", C7), 0) &gt; 0, 5, IF(IFERROR(SEARCH("подразделения ≥ 4,0", C7), 0) &gt; 0, 3, IF(IFERROR(SEARCH("&lt;", C7), 0) &gt; 0, 0,)))</f>
        <v>0</v>
      </c>
      <c r="F7">
        <v>5</v>
      </c>
      <c r="G7" s="16" t="s">
        <v>344</v>
      </c>
    </row>
    <row r="8" spans="1:12" ht="15" customHeight="1">
      <c r="A8" s="51"/>
      <c r="B8" s="54"/>
      <c r="C8" s="52"/>
      <c r="D8" s="52"/>
      <c r="F8">
        <v>3</v>
      </c>
      <c r="G8" s="17" t="s">
        <v>343</v>
      </c>
    </row>
    <row r="9" spans="1:12" ht="18.75" customHeight="1" thickBot="1">
      <c r="A9" s="40"/>
      <c r="B9" s="55"/>
      <c r="C9" s="45"/>
      <c r="D9" s="45"/>
      <c r="F9">
        <v>0</v>
      </c>
      <c r="G9" s="18" t="s">
        <v>345</v>
      </c>
    </row>
    <row r="10" spans="1:12" ht="15" customHeight="1">
      <c r="A10" s="39" t="s">
        <v>7</v>
      </c>
      <c r="B10" s="44" t="s">
        <v>8</v>
      </c>
      <c r="C10" s="44" t="s">
        <v>70</v>
      </c>
      <c r="D10" s="44">
        <f>IF(C10="Академические задолжности отсутствуют",10,0)</f>
        <v>0</v>
      </c>
      <c r="F10">
        <v>10</v>
      </c>
    </row>
    <row r="11" spans="1:12" ht="15.75" customHeight="1" thickBot="1">
      <c r="A11" s="40"/>
      <c r="B11" s="45"/>
      <c r="C11" s="45"/>
      <c r="D11" s="45"/>
      <c r="F11">
        <v>0</v>
      </c>
    </row>
    <row r="12" spans="1:12" ht="15" customHeight="1">
      <c r="A12" s="39" t="s">
        <v>9</v>
      </c>
      <c r="B12" s="44" t="s">
        <v>10</v>
      </c>
      <c r="C12" s="44" t="s">
        <v>266</v>
      </c>
      <c r="D12" s="44">
        <f>IF(C12="В подразделении и у КУГ отсутствуют текущие задолжности",5,IF(C12="Имеются менее 20% текущих задолжностей в подразделении или у КУГ",3,IF(C12="Имеются более 20% текущих задолжностей в подразделении или у КУГ",0,)))</f>
        <v>5</v>
      </c>
      <c r="F12">
        <v>5</v>
      </c>
    </row>
    <row r="13" spans="1:12" ht="15" customHeight="1">
      <c r="A13" s="51"/>
      <c r="B13" s="52"/>
      <c r="C13" s="52"/>
      <c r="D13" s="52"/>
      <c r="F13">
        <v>3</v>
      </c>
    </row>
    <row r="14" spans="1:12" ht="15.75" customHeight="1" thickBot="1">
      <c r="A14" s="40"/>
      <c r="B14" s="45"/>
      <c r="C14" s="45"/>
      <c r="D14" s="45"/>
      <c r="F14">
        <v>0</v>
      </c>
    </row>
    <row r="15" spans="1:12" ht="15" customHeight="1">
      <c r="A15" s="39" t="s">
        <v>11</v>
      </c>
      <c r="B15" s="44" t="s">
        <v>39</v>
      </c>
      <c r="C15" s="64" t="s">
        <v>40</v>
      </c>
      <c r="D15" s="44">
        <f>IF(C15="Подразделение прибыло на занятие своевременно; дежурный по аудитории назначен; ЖУУЗ и классная доска оформлены; литература, конспекты, ПЭВМ (по необходимости) получены; внутренний порядок в аудитории поддерживается",5,IF(C15="Подразделение прибыло на занятие своевременно; дежурный по аудитории назначен; литература, конспекты, ПЭВМ (по необходимости) получены; ЖУУЗ или классная доска оформлены не своевременно; или имеются отклонения по  внутреннему порядку в аудитории",3,IF(C15="одразделение опоздало на занятие; или ЖУУЗ и классная доска не оформлены; литература, конспекты, ПЭВМ (по необходимости) не получены; или внутренний порядок в аудитории не поддерживается ",0,)))</f>
        <v>5</v>
      </c>
      <c r="F15">
        <v>5</v>
      </c>
      <c r="L15" s="13" t="s">
        <v>40</v>
      </c>
    </row>
    <row r="16" spans="1:12" ht="15" customHeight="1">
      <c r="A16" s="51"/>
      <c r="B16" s="52"/>
      <c r="C16" s="62"/>
      <c r="D16" s="52"/>
      <c r="F16">
        <v>3</v>
      </c>
      <c r="L16" s="13" t="s">
        <v>77</v>
      </c>
    </row>
    <row r="17" spans="1:12" ht="52.5" customHeight="1" thickBot="1">
      <c r="A17" s="40"/>
      <c r="B17" s="45"/>
      <c r="C17" s="63"/>
      <c r="D17" s="45"/>
      <c r="F17">
        <v>0</v>
      </c>
      <c r="L17" t="s">
        <v>78</v>
      </c>
    </row>
    <row r="18" spans="1:12" ht="15" customHeight="1" thickBot="1">
      <c r="A18" s="39" t="s">
        <v>13</v>
      </c>
      <c r="B18" s="44" t="s">
        <v>41</v>
      </c>
      <c r="C18" s="64" t="s">
        <v>79</v>
      </c>
      <c r="D18" s="44">
        <f>IF(IFERROR(SEARCH("30%", C18), 0) &gt; 0, 5, IF(IFERROR(SEARCH("10%", C18), 0) &gt; 0, 3, IF(IFERROR(SEARCH("не получены", C18), 0) &gt; 0, 0,)))</f>
        <v>5</v>
      </c>
      <c r="F18">
        <v>10</v>
      </c>
      <c r="L18" s="14" t="s">
        <v>79</v>
      </c>
    </row>
    <row r="19" spans="1:12" ht="15" customHeight="1">
      <c r="A19" s="51"/>
      <c r="B19" s="52"/>
      <c r="C19" s="62"/>
      <c r="D19" s="52"/>
      <c r="F19">
        <v>2</v>
      </c>
      <c r="L19" s="13" t="s">
        <v>80</v>
      </c>
    </row>
    <row r="20" spans="1:12" ht="105" customHeight="1" thickBot="1">
      <c r="A20" s="40"/>
      <c r="B20" s="45"/>
      <c r="C20" s="63"/>
      <c r="D20" s="45"/>
      <c r="F20">
        <v>0</v>
      </c>
      <c r="L20" s="13" t="s">
        <v>81</v>
      </c>
    </row>
    <row r="21" spans="1:12" ht="15" customHeight="1">
      <c r="A21" s="39" t="s">
        <v>15</v>
      </c>
      <c r="B21" s="44" t="s">
        <v>12</v>
      </c>
      <c r="C21" s="41" t="s">
        <v>73</v>
      </c>
      <c r="D21" s="44">
        <f>IF(C21="Замечания в подразделении и у КУГ отсутствуют",5,IF(C21="В подразделении 2 замечания у КУГ отсутствуют",3,IF(C21="В подразделении 3 и более замечаний или замечания у КУГ",0,)))</f>
        <v>5</v>
      </c>
      <c r="F21">
        <v>5</v>
      </c>
    </row>
    <row r="22" spans="1:12" ht="15.75" customHeight="1">
      <c r="A22" s="51"/>
      <c r="B22" s="52"/>
      <c r="C22" s="53"/>
      <c r="D22" s="52"/>
      <c r="F22">
        <v>0</v>
      </c>
    </row>
    <row r="23" spans="1:12" ht="82.5" customHeight="1" thickBot="1">
      <c r="A23" s="40"/>
      <c r="B23" s="45"/>
      <c r="C23" s="43"/>
      <c r="D23" s="45"/>
      <c r="F23">
        <v>10</v>
      </c>
    </row>
    <row r="24" spans="1:12" ht="15" customHeight="1">
      <c r="A24" s="39" t="s">
        <v>17</v>
      </c>
      <c r="B24" s="44" t="s">
        <v>14</v>
      </c>
      <c r="C24" s="41" t="s">
        <v>262</v>
      </c>
      <c r="D24" s="44">
        <f>IF(C24="ПРО, ПРЕ, ГДП в подразделении и КУГ отсутствуют",10,IF(C24="ПРО, ПРЕ отсутствуют, имеются не снятые взыскания за ГДП в подразделении, у КУГ отсутствуют",2,IF(C24="Совершено ПРО, ПРЕ, ГДП в подразделении или КУГ или допущено сокрытие",0,)))</f>
        <v>10</v>
      </c>
      <c r="F24">
        <v>5</v>
      </c>
    </row>
    <row r="25" spans="1:12" ht="15.75" customHeight="1">
      <c r="A25" s="51"/>
      <c r="B25" s="52"/>
      <c r="C25" s="53"/>
      <c r="D25" s="52"/>
      <c r="F25">
        <v>0</v>
      </c>
    </row>
    <row r="26" spans="1:12" ht="52.5" customHeight="1" thickBot="1">
      <c r="A26" s="40"/>
      <c r="B26" s="45"/>
      <c r="C26" s="43"/>
      <c r="D26" s="45"/>
      <c r="F26">
        <v>3</v>
      </c>
    </row>
    <row r="27" spans="1:12" ht="15.75" customHeight="1">
      <c r="A27" s="39" t="s">
        <v>20</v>
      </c>
      <c r="B27" s="44" t="s">
        <v>16</v>
      </c>
      <c r="C27" s="41" t="s">
        <v>57</v>
      </c>
      <c r="D27" s="44">
        <f>IF(C27="Дисциплинарная практика к подчиненному личному составу ведется",5,0)</f>
        <v>5</v>
      </c>
      <c r="F27">
        <v>0</v>
      </c>
    </row>
    <row r="28" spans="1:12" ht="15" customHeight="1" thickBot="1">
      <c r="A28" s="40"/>
      <c r="B28" s="45"/>
      <c r="C28" s="43"/>
      <c r="D28" s="45"/>
      <c r="F28">
        <v>5</v>
      </c>
    </row>
    <row r="29" spans="1:12" ht="15" customHeight="1">
      <c r="A29" s="39" t="s">
        <v>23</v>
      </c>
      <c r="B29" s="44" t="s">
        <v>18</v>
      </c>
      <c r="C29" s="41" t="s">
        <v>60</v>
      </c>
      <c r="D29" s="44">
        <f>IF(C29="Обстановкой владеет, доклады представляет, книжка сержантов актуальна",10,IF(C29="Обстановкой владеет, доклады представляет, книжка сержантов не актуальна",5,IF(C29="Обстановкой не владеет, доклады не представляет, книжка сержантов не актуальна",0,)))</f>
        <v>10</v>
      </c>
      <c r="F29">
        <v>3</v>
      </c>
    </row>
    <row r="30" spans="1:12" ht="15.75" customHeight="1">
      <c r="A30" s="51"/>
      <c r="B30" s="52"/>
      <c r="C30" s="53"/>
      <c r="D30" s="52"/>
      <c r="F30">
        <v>0</v>
      </c>
    </row>
    <row r="31" spans="1:12" ht="105" customHeight="1" thickBot="1">
      <c r="A31" s="40"/>
      <c r="B31" s="45"/>
      <c r="C31" s="43"/>
      <c r="D31" s="45"/>
      <c r="F31">
        <v>10</v>
      </c>
    </row>
    <row r="32" spans="1:12" ht="26.25" customHeight="1">
      <c r="A32" s="39" t="s">
        <v>25</v>
      </c>
      <c r="B32" s="44" t="s">
        <v>21</v>
      </c>
      <c r="C32" s="41" t="s">
        <v>75</v>
      </c>
      <c r="D32" s="44">
        <f>IF(C32="Подведение итогов актуально, поставлены конкретные задачи и проводится в установленное время",3,0)</f>
        <v>3</v>
      </c>
      <c r="F32">
        <v>0</v>
      </c>
    </row>
    <row r="33" spans="1:6" ht="30" customHeight="1" thickBot="1">
      <c r="A33" s="40"/>
      <c r="B33" s="45"/>
      <c r="C33" s="43"/>
      <c r="D33" s="45"/>
      <c r="F33">
        <v>10</v>
      </c>
    </row>
    <row r="34" spans="1:6" ht="15" customHeight="1">
      <c r="A34" s="51" t="s">
        <v>27</v>
      </c>
      <c r="B34" s="52" t="s">
        <v>43</v>
      </c>
      <c r="C34" s="41" t="s">
        <v>263</v>
      </c>
      <c r="D34" s="62">
        <f>IF(C34="Увольнения распределены равномерно",2,0)</f>
        <v>2</v>
      </c>
      <c r="F34">
        <v>5</v>
      </c>
    </row>
    <row r="35" spans="1:6" ht="15.75" customHeight="1" thickBot="1">
      <c r="A35" s="40"/>
      <c r="B35" s="45"/>
      <c r="C35" s="43"/>
      <c r="D35" s="63"/>
      <c r="F35">
        <v>0</v>
      </c>
    </row>
    <row r="36" spans="1:6" ht="15" customHeight="1">
      <c r="A36" s="39" t="s">
        <v>29</v>
      </c>
      <c r="B36" s="44" t="s">
        <v>44</v>
      </c>
      <c r="C36" s="44" t="s">
        <v>61</v>
      </c>
      <c r="D36" s="64">
        <f>IF(C36="Наряды и уборщики распределены равномерно",2,IF(C36="Наряды распределены равномерно, уборщики не равномерно",1,IF(C36="Наряды и уборщики распределены не равномерно",0,)))</f>
        <v>2</v>
      </c>
      <c r="F36">
        <v>5</v>
      </c>
    </row>
    <row r="37" spans="1:6" ht="15.75" customHeight="1">
      <c r="A37" s="51"/>
      <c r="B37" s="52"/>
      <c r="C37" s="52"/>
      <c r="D37" s="62"/>
      <c r="F37">
        <v>0</v>
      </c>
    </row>
    <row r="38" spans="1:6" ht="38.25" customHeight="1" thickBot="1">
      <c r="A38" s="40"/>
      <c r="B38" s="45"/>
      <c r="C38" s="45"/>
      <c r="D38" s="63"/>
      <c r="F38">
        <v>2</v>
      </c>
    </row>
    <row r="39" spans="1:6" ht="15.75" customHeight="1">
      <c r="A39" s="39" t="s">
        <v>32</v>
      </c>
      <c r="B39" s="44" t="s">
        <v>24</v>
      </c>
      <c r="C39" s="41" t="s">
        <v>336</v>
      </c>
      <c r="D39" s="44">
        <f>IF(C39="Замечания у подчиненного л/с отсутствуют, КУГ оценен не ниже «хорошо»",5,IF(C39="Выявлено не более 2 замечаний у подчиненного л/с, КУГ оценен не ниже «хорошо»",3,IF(C39="Л/с отстранен или выявлено более 2 замечаний, КУГ оценен ниже «хорошо»",0,)))</f>
        <v>3</v>
      </c>
      <c r="F39">
        <v>1</v>
      </c>
    </row>
    <row r="40" spans="1:6" ht="15" customHeight="1">
      <c r="A40" s="51"/>
      <c r="B40" s="52"/>
      <c r="C40" s="53"/>
      <c r="D40" s="52"/>
    </row>
    <row r="41" spans="1:6" ht="40.5" customHeight="1" thickBot="1">
      <c r="A41" s="40"/>
      <c r="B41" s="45"/>
      <c r="C41" s="43"/>
      <c r="D41" s="45"/>
    </row>
    <row r="42" spans="1:6">
      <c r="A42" s="39" t="s">
        <v>45</v>
      </c>
      <c r="B42" s="44" t="s">
        <v>26</v>
      </c>
      <c r="C42" s="41" t="s">
        <v>65</v>
      </c>
      <c r="D42" s="44">
        <f>IF(C42="Нарушений ТБ, приведших к травматизму л/с нет",10,0)</f>
        <v>10</v>
      </c>
    </row>
    <row r="43" spans="1:6" ht="44.25" customHeight="1" thickBot="1">
      <c r="A43" s="40"/>
      <c r="B43" s="45"/>
      <c r="C43" s="43"/>
      <c r="D43" s="45"/>
    </row>
    <row r="44" spans="1:6">
      <c r="A44" s="39" t="s">
        <v>46</v>
      </c>
      <c r="B44" s="44" t="s">
        <v>28</v>
      </c>
      <c r="C44" s="41" t="s">
        <v>52</v>
      </c>
      <c r="D44" s="44">
        <f>IF(C44="Элементы распорядка дня соблюдаются",10,IF(C44="Не более пяти нарушений распорядка дня, срывов мероприятий не допущено",5,IF(C44="Более пяти нарушений элементов распорядка дня или мероприятие сорвано",0,)))</f>
        <v>10</v>
      </c>
    </row>
    <row r="45" spans="1:6">
      <c r="A45" s="51"/>
      <c r="B45" s="52"/>
      <c r="C45" s="53"/>
      <c r="D45" s="52"/>
    </row>
    <row r="46" spans="1:6" ht="15.75" thickBot="1">
      <c r="A46" s="40"/>
      <c r="B46" s="45"/>
      <c r="C46" s="43"/>
      <c r="D46" s="45"/>
    </row>
    <row r="47" spans="1:6">
      <c r="A47" s="39" t="s">
        <v>47</v>
      </c>
      <c r="B47" s="44" t="s">
        <v>30</v>
      </c>
      <c r="C47" s="41" t="s">
        <v>31</v>
      </c>
      <c r="D47" s="44">
        <f>IF(C47="Материальные средства подразделения в наличии, исправны, обслужены, хранятся правильно",5,0)</f>
        <v>5</v>
      </c>
    </row>
    <row r="48" spans="1:6" ht="45" customHeight="1" thickBot="1">
      <c r="A48" s="40"/>
      <c r="B48" s="45"/>
      <c r="C48" s="43"/>
      <c r="D48" s="45"/>
    </row>
    <row r="49" spans="1:5">
      <c r="A49" s="39" t="s">
        <v>48</v>
      </c>
      <c r="B49" s="44" t="s">
        <v>33</v>
      </c>
      <c r="C49" s="41" t="s">
        <v>49</v>
      </c>
      <c r="D49" s="44">
        <f>IF(C49="Оценка по физической подготовке (культуре) - 5",2,1)</f>
        <v>2</v>
      </c>
    </row>
    <row r="50" spans="1:5" ht="97.5" customHeight="1" thickBot="1">
      <c r="A50" s="40"/>
      <c r="B50" s="45"/>
      <c r="C50" s="43"/>
      <c r="D50" s="45"/>
    </row>
    <row r="51" spans="1:5" ht="15.75">
      <c r="A51" s="46" t="s">
        <v>34</v>
      </c>
      <c r="B51" s="47"/>
      <c r="C51" s="47"/>
      <c r="D51" s="50">
        <f>SUM(D7:D50)</f>
        <v>82</v>
      </c>
      <c r="E51" s="8"/>
    </row>
    <row r="52" spans="1:5" ht="16.5" thickBot="1">
      <c r="A52" s="48"/>
      <c r="B52" s="49"/>
      <c r="C52" s="49"/>
      <c r="D52" s="42"/>
      <c r="E52" s="8"/>
    </row>
    <row r="54" spans="1:5" ht="20.25">
      <c r="A54" s="37" t="s">
        <v>35</v>
      </c>
      <c r="B54" s="37"/>
      <c r="C54" s="37"/>
      <c r="D54" s="37"/>
      <c r="E54" s="37"/>
    </row>
    <row r="55" spans="1:5" ht="20.25">
      <c r="A55" s="38" t="s">
        <v>36</v>
      </c>
      <c r="B55" s="38"/>
      <c r="C55" s="38"/>
      <c r="D55" s="38"/>
      <c r="E55" s="38"/>
    </row>
    <row r="56" spans="1:5" ht="21">
      <c r="A56" s="9"/>
      <c r="B56" s="9"/>
      <c r="C56" s="5" t="s">
        <v>290</v>
      </c>
      <c r="D56" s="5"/>
      <c r="E56" s="9"/>
    </row>
  </sheetData>
  <mergeCells count="79">
    <mergeCell ref="A1:E1"/>
    <mergeCell ref="A2:E2"/>
    <mergeCell ref="A3:E3"/>
    <mergeCell ref="A4:E4"/>
    <mergeCell ref="B5:B6"/>
    <mergeCell ref="C5:C6"/>
    <mergeCell ref="D5:D6"/>
    <mergeCell ref="A7:A9"/>
    <mergeCell ref="B7:B9"/>
    <mergeCell ref="C7:C9"/>
    <mergeCell ref="D7:D9"/>
    <mergeCell ref="A10:A11"/>
    <mergeCell ref="B10:B11"/>
    <mergeCell ref="C10:C11"/>
    <mergeCell ref="D10:D11"/>
    <mergeCell ref="A12:A14"/>
    <mergeCell ref="B12:B14"/>
    <mergeCell ref="C12:C14"/>
    <mergeCell ref="D12:D14"/>
    <mergeCell ref="A15:A17"/>
    <mergeCell ref="B15:B17"/>
    <mergeCell ref="C15:C17"/>
    <mergeCell ref="D15:D17"/>
    <mergeCell ref="A18:A20"/>
    <mergeCell ref="B18:B20"/>
    <mergeCell ref="C18:C20"/>
    <mergeCell ref="D18:D20"/>
    <mergeCell ref="A21:A23"/>
    <mergeCell ref="B21:B23"/>
    <mergeCell ref="C21:C23"/>
    <mergeCell ref="D21:D23"/>
    <mergeCell ref="A24:A26"/>
    <mergeCell ref="B24:B26"/>
    <mergeCell ref="C24:C26"/>
    <mergeCell ref="D24:D26"/>
    <mergeCell ref="A27:A28"/>
    <mergeCell ref="B27:B28"/>
    <mergeCell ref="C27:C28"/>
    <mergeCell ref="D27:D28"/>
    <mergeCell ref="A29:A31"/>
    <mergeCell ref="B29:B31"/>
    <mergeCell ref="C29:C31"/>
    <mergeCell ref="D29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8"/>
    <mergeCell ref="B36:B38"/>
    <mergeCell ref="C36:C38"/>
    <mergeCell ref="D36:D38"/>
    <mergeCell ref="A39:A41"/>
    <mergeCell ref="B39:B41"/>
    <mergeCell ref="C39:C41"/>
    <mergeCell ref="D39:D41"/>
    <mergeCell ref="A42:A43"/>
    <mergeCell ref="B42:B43"/>
    <mergeCell ref="C42:C43"/>
    <mergeCell ref="D42:D43"/>
    <mergeCell ref="A44:A46"/>
    <mergeCell ref="B44:B46"/>
    <mergeCell ref="C44:C46"/>
    <mergeCell ref="D44:D46"/>
    <mergeCell ref="A47:A48"/>
    <mergeCell ref="B47:B48"/>
    <mergeCell ref="C47:C48"/>
    <mergeCell ref="D47:D48"/>
    <mergeCell ref="A54:E54"/>
    <mergeCell ref="A55:E55"/>
    <mergeCell ref="A49:A50"/>
    <mergeCell ref="B49:B50"/>
    <mergeCell ref="C49:C50"/>
    <mergeCell ref="D49:D50"/>
    <mergeCell ref="A51:C52"/>
    <mergeCell ref="D51:D52"/>
  </mergeCells>
  <dataValidations count="17">
    <dataValidation type="list" allowBlank="1" showInputMessage="1" showErrorMessage="1" sqref="C18:C20">
      <formula1>$L$18:$L$20</formula1>
    </dataValidation>
    <dataValidation type="list" allowBlank="1" showInputMessage="1" showErrorMessage="1" sqref="C49:C50">
      <formula1>"Оценка по физической подготовке (культуре) - 5,Оценка по физической подготовке (культуре) - 4"</formula1>
    </dataValidation>
    <dataValidation type="list" allowBlank="1" showInputMessage="1" showErrorMessage="1" sqref="C47:C48">
      <formula1>"Материальные средства подразделения в наличии, исправны, обслужены, хранятся правильно,Не выполнены предъявляемые критерии "</formula1>
    </dataValidation>
    <dataValidation type="list" allowBlank="1" showInputMessage="1" showErrorMessage="1" sqref="C44:C46">
      <formula1>"Элементы распорядка дня соблюдаются,Не более пяти нарушений распорядка дня, срывов мероприятий не допущено,Более пяти нарушений элементов распорядка дня или мероприятие сорвано"</formula1>
    </dataValidation>
    <dataValidation type="list" allowBlank="1" showInputMessage="1" showErrorMessage="1" sqref="C42:C43">
      <formula1>"Нарушений ТБ, приведших к травматизму л/с нет,Есть нарушения ТБ, приведших к травматизму л/с"</formula1>
    </dataValidation>
    <dataValidation type="list" allowBlank="1" showInputMessage="1" showErrorMessage="1" sqref="C39:C41">
      <formula1>"Замечания у подчиненного л/с отсутствуют, КУГ оценен не ниже «хорошо»,Выявлено не более 2 замечаний у подчиненного л/с, КУГ оценен не ниже «хорошо»,Л/с отстранен или выявлено более 2 замечаний, КУГ оценен ниже «хорошо»,"</formula1>
    </dataValidation>
    <dataValidation type="list" allowBlank="1" showInputMessage="1" showErrorMessage="1" sqref="C36:C38">
      <formula1>"Наряды и уборщики распределены равномерно,Наряды распределены равномерно, уборщики не равномерно,Наряды и уборщики распределены не равномерно"</formula1>
    </dataValidation>
    <dataValidation type="list" allowBlank="1" showInputMessage="1" showErrorMessage="1" sqref="C34:C35">
      <formula1>"Увольнения распределены равномерно,Увольнения распределяются не равномерно"</formula1>
    </dataValidation>
    <dataValidation type="list" allowBlank="1" showInputMessage="1" showErrorMessage="1" sqref="C32:C33">
      <formula1>"Подведение итогов актуально, поставлены конкретные задачи и проводится в установленное время,Подведение итогов не актуально, не поставлены задачи или не проводится"</formula1>
    </dataValidation>
    <dataValidation type="list" allowBlank="1" showInputMessage="1" showErrorMessage="1" sqref="C29:C31">
      <formula1>"Обстановкой владеет, доклады представляет, книжка сержантов актуальна,Обстановкой владеет, доклады представляет, книжка сержантов не актуальна,Обстановкой не владеет, доклады не представляет, книжка сержантов не актуальна"</formula1>
    </dataValidation>
    <dataValidation type="list" allowBlank="1" showInputMessage="1" showErrorMessage="1" sqref="C27:C28">
      <formula1>"Дисциплинарная практика к подчиненному личному составу ведется,Дисциплинарная практика к подчиненному личному составу не реализуется или КУГ имеет дисциплинарные взыскания"</formula1>
    </dataValidation>
    <dataValidation type="list" allowBlank="1" showInputMessage="1" showErrorMessage="1" sqref="C24:C26">
      <formula1>"ПРО, ПРЕ, ГДП в подразделении и КУГ отсутствуют, ПРО, ПРЕ отсутствуют, имеются не снятые взыскания за ГДП в подразделении, у КУГ отсутствуют, Совершено ПРО, ПРЕ, ГДП в подразделении или КУГ или допущено сокрытие"</formula1>
    </dataValidation>
    <dataValidation type="list" allowBlank="1" showInputMessage="1" showErrorMessage="1" sqref="C21:C23">
      <formula1>"Замечания в подразделении и у КУГ отсутствуют,В подразделении 2 замечания у КУГ отсутствуют,В подразделении 3 и более замечаний или замечания у КУГ"</formula1>
    </dataValidation>
    <dataValidation type="list" allowBlank="1" showInputMessage="1" showErrorMessage="1" sqref="C15:C17">
      <formula1>$L$15:$L$17</formula1>
    </dataValidation>
    <dataValidation type="list" allowBlank="1" showInputMessage="1" showErrorMessage="1" sqref="C12:C14">
      <formula1>"В подразделении и у КУГ отсутствуют текущие задолжности,Имеются менее 20% текущих задолжностей в подразделении или у КУГ,Имеются более 20% текущих задолжностей в подразделении или у КУГ"</formula1>
    </dataValidation>
    <dataValidation type="list" allowBlank="1" showInputMessage="1" showErrorMessage="1" sqref="C10:C11">
      <formula1>"Академические задолжности отсутствуют, Имеются академические задолжности в учебной группе или у КУГ"</formula1>
    </dataValidation>
    <dataValidation type="list" allowBlank="1" showInputMessage="1" showErrorMessage="1" sqref="C7:C9">
      <formula1>$G$7:$G$9</formula1>
    </dataValidation>
  </dataValidations>
  <pageMargins left="0.7" right="0.7" top="0.75" bottom="0.75" header="0.3" footer="0.3"/>
  <pageSetup paperSize="9" orientation="portrait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tabColor rgb="FFFFFF00"/>
  </sheetPr>
  <dimension ref="A1:U46"/>
  <sheetViews>
    <sheetView topLeftCell="A13" zoomScale="55" zoomScaleNormal="55" workbookViewId="0">
      <selection activeCell="C26" sqref="C26:C27"/>
    </sheetView>
  </sheetViews>
  <sheetFormatPr defaultRowHeight="15"/>
  <cols>
    <col min="2" max="2" width="26" customWidth="1"/>
    <col min="3" max="3" width="58.5703125" customWidth="1"/>
    <col min="4" max="4" width="28.42578125" customWidth="1"/>
    <col min="5" max="5" width="24.140625" hidden="1" customWidth="1"/>
    <col min="6" max="6" width="24" hidden="1" customWidth="1"/>
    <col min="7" max="7" width="1.85546875" hidden="1" customWidth="1"/>
    <col min="8" max="8" width="18.42578125" customWidth="1"/>
  </cols>
  <sheetData>
    <row r="1" spans="1:21" ht="20.25">
      <c r="A1" s="56" t="s">
        <v>0</v>
      </c>
      <c r="B1" s="56"/>
      <c r="C1" s="56"/>
      <c r="D1" s="56"/>
      <c r="E1" s="56"/>
    </row>
    <row r="2" spans="1:21" ht="18.75">
      <c r="A2" s="57" t="s">
        <v>1</v>
      </c>
      <c r="B2" s="57"/>
      <c r="C2" s="57"/>
      <c r="D2" s="57"/>
      <c r="E2" s="57"/>
    </row>
    <row r="3" spans="1:21" ht="18.75" customHeight="1">
      <c r="A3" s="58" t="s">
        <v>299</v>
      </c>
      <c r="B3" s="57"/>
      <c r="C3" s="57"/>
      <c r="D3" s="57"/>
      <c r="E3" s="57"/>
    </row>
    <row r="4" spans="1:21" ht="16.5" thickBot="1">
      <c r="A4" s="59"/>
      <c r="B4" s="59"/>
      <c r="C4" s="59"/>
      <c r="D4" s="59"/>
      <c r="E4" s="59"/>
    </row>
    <row r="5" spans="1:21" ht="15.75">
      <c r="A5" s="2" t="s">
        <v>3</v>
      </c>
      <c r="B5" s="60" t="s">
        <v>54</v>
      </c>
      <c r="C5" s="60" t="s">
        <v>55</v>
      </c>
      <c r="D5" s="60" t="s">
        <v>42</v>
      </c>
    </row>
    <row r="6" spans="1:21" ht="16.5" thickBot="1">
      <c r="A6" s="4" t="s">
        <v>4</v>
      </c>
      <c r="B6" s="61"/>
      <c r="C6" s="61"/>
      <c r="D6" s="61"/>
    </row>
    <row r="7" spans="1:21" ht="13.5" customHeight="1">
      <c r="A7" s="39" t="s">
        <v>5</v>
      </c>
      <c r="B7" s="44" t="s">
        <v>6</v>
      </c>
      <c r="C7" s="44" t="s">
        <v>83</v>
      </c>
      <c r="D7" s="44">
        <f>IF(IFERROR(SEARCH("подразделения ≥ 4,5", C7), 0) &gt; 0, 5, IF(IFERROR(SEARCH("подразделения ≥ 4,0", C7), 0) &gt; 0, 3, IF(IFERROR(SEARCH("&lt;", C7), 0) &gt; 0, 0,)))</f>
        <v>3</v>
      </c>
      <c r="F7">
        <v>5</v>
      </c>
      <c r="G7" s="16" t="s">
        <v>82</v>
      </c>
      <c r="N7" s="15"/>
      <c r="U7" s="15"/>
    </row>
    <row r="8" spans="1:21" ht="20.25" customHeight="1">
      <c r="A8" s="51"/>
      <c r="B8" s="54"/>
      <c r="C8" s="52"/>
      <c r="D8" s="52"/>
      <c r="F8">
        <v>3</v>
      </c>
      <c r="G8" s="17" t="s">
        <v>83</v>
      </c>
      <c r="N8" s="13"/>
      <c r="U8" s="13"/>
    </row>
    <row r="9" spans="1:21" ht="18" customHeight="1" thickBot="1">
      <c r="A9" s="40"/>
      <c r="B9" s="55"/>
      <c r="C9" s="45"/>
      <c r="D9" s="45"/>
      <c r="F9">
        <v>0</v>
      </c>
      <c r="G9" s="18" t="s">
        <v>84</v>
      </c>
    </row>
    <row r="10" spans="1:21">
      <c r="A10" s="39" t="s">
        <v>7</v>
      </c>
      <c r="B10" s="44" t="s">
        <v>8</v>
      </c>
      <c r="C10" s="44" t="s">
        <v>86</v>
      </c>
      <c r="D10" s="44">
        <f>IF(IFERROR(SEARCH("отсутствуют", C10), 0) &gt; 0, 10, IF(IFERROR(SEARCH("имеются", C10), 0) &gt; 0, 0, ))</f>
        <v>0</v>
      </c>
      <c r="F10">
        <v>10</v>
      </c>
      <c r="G10" t="s">
        <v>85</v>
      </c>
    </row>
    <row r="11" spans="1:21" ht="24.75" customHeight="1" thickBot="1">
      <c r="A11" s="40"/>
      <c r="B11" s="45"/>
      <c r="C11" s="45"/>
      <c r="D11" s="45"/>
      <c r="F11">
        <v>0</v>
      </c>
      <c r="G11" s="13" t="s">
        <v>86</v>
      </c>
    </row>
    <row r="12" spans="1:21" ht="18" customHeight="1" thickBot="1">
      <c r="A12" s="39" t="s">
        <v>9</v>
      </c>
      <c r="B12" s="44" t="s">
        <v>10</v>
      </c>
      <c r="C12" s="44" t="s">
        <v>88</v>
      </c>
      <c r="D12" s="44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>3</v>
      </c>
      <c r="F12">
        <v>5</v>
      </c>
      <c r="G12" s="14" t="s">
        <v>87</v>
      </c>
    </row>
    <row r="13" spans="1:21" ht="15.75">
      <c r="A13" s="51"/>
      <c r="B13" s="52"/>
      <c r="C13" s="52"/>
      <c r="D13" s="52"/>
      <c r="F13">
        <v>3</v>
      </c>
      <c r="G13" s="13" t="s">
        <v>88</v>
      </c>
    </row>
    <row r="14" spans="1:21" ht="16.5" thickBot="1">
      <c r="A14" s="40"/>
      <c r="B14" s="45"/>
      <c r="C14" s="45"/>
      <c r="D14" s="45"/>
      <c r="F14">
        <v>0</v>
      </c>
      <c r="G14" s="13" t="s">
        <v>89</v>
      </c>
    </row>
    <row r="15" spans="1:21" ht="15.75">
      <c r="A15" s="39" t="s">
        <v>11</v>
      </c>
      <c r="B15" s="44" t="s">
        <v>12</v>
      </c>
      <c r="C15" s="41" t="s">
        <v>90</v>
      </c>
      <c r="D15" s="44">
        <f>IF(IFERROR(SEARCH("Отсутствуют", C15), 0) &gt; 0, 5, IF(IFERROR(SEARCH("Наличие одного", C15), 0) &gt; 0, 3, IF(IFERROR(SEARCH("Наличие двух", C15), 0) &gt; 0, 0,)))</f>
        <v>5</v>
      </c>
      <c r="F15">
        <v>5</v>
      </c>
      <c r="G15" s="19" t="s">
        <v>90</v>
      </c>
    </row>
    <row r="16" spans="1:21" ht="15.75">
      <c r="A16" s="51"/>
      <c r="B16" s="52"/>
      <c r="C16" s="53"/>
      <c r="D16" s="52"/>
      <c r="F16">
        <v>3</v>
      </c>
      <c r="G16" s="13" t="s">
        <v>91</v>
      </c>
    </row>
    <row r="17" spans="1:7" ht="92.25" customHeight="1" thickBot="1">
      <c r="A17" s="40"/>
      <c r="B17" s="45"/>
      <c r="C17" s="43"/>
      <c r="D17" s="45"/>
      <c r="F17">
        <v>0</v>
      </c>
      <c r="G17" s="13" t="s">
        <v>92</v>
      </c>
    </row>
    <row r="18" spans="1:7" ht="15" customHeight="1" thickBot="1">
      <c r="A18" s="39" t="s">
        <v>13</v>
      </c>
      <c r="B18" s="44" t="s">
        <v>14</v>
      </c>
      <c r="C18" s="41" t="s">
        <v>93</v>
      </c>
      <c r="D18" s="44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>10</v>
      </c>
      <c r="F18">
        <v>10</v>
      </c>
      <c r="G18" s="13" t="s">
        <v>93</v>
      </c>
    </row>
    <row r="19" spans="1:7" ht="15" customHeight="1" thickBot="1">
      <c r="A19" s="51"/>
      <c r="B19" s="52"/>
      <c r="C19" s="53"/>
      <c r="D19" s="52"/>
      <c r="F19">
        <v>2</v>
      </c>
      <c r="G19" s="14" t="s">
        <v>94</v>
      </c>
    </row>
    <row r="20" spans="1:7" ht="57" customHeight="1" thickBot="1">
      <c r="A20" s="40"/>
      <c r="B20" s="45"/>
      <c r="C20" s="43"/>
      <c r="D20" s="45"/>
      <c r="F20">
        <v>0</v>
      </c>
      <c r="G20" s="13" t="s">
        <v>95</v>
      </c>
    </row>
    <row r="21" spans="1:7" ht="15.75">
      <c r="A21" s="39" t="s">
        <v>15</v>
      </c>
      <c r="B21" s="44" t="s">
        <v>16</v>
      </c>
      <c r="C21" s="41" t="s">
        <v>96</v>
      </c>
      <c r="D21" s="44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>5</v>
      </c>
      <c r="F21">
        <v>5</v>
      </c>
      <c r="G21" s="13" t="s">
        <v>96</v>
      </c>
    </row>
    <row r="22" spans="1:7" ht="42.75" customHeight="1" thickBot="1">
      <c r="A22" s="40"/>
      <c r="B22" s="45"/>
      <c r="C22" s="43"/>
      <c r="D22" s="45"/>
      <c r="F22">
        <v>0</v>
      </c>
      <c r="G22" s="13" t="s">
        <v>97</v>
      </c>
    </row>
    <row r="23" spans="1:7" ht="15.75">
      <c r="A23" s="39" t="s">
        <v>17</v>
      </c>
      <c r="B23" s="44" t="s">
        <v>18</v>
      </c>
      <c r="C23" s="41" t="s">
        <v>19</v>
      </c>
      <c r="D23" s="44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>10</v>
      </c>
      <c r="F23">
        <v>10</v>
      </c>
      <c r="G23" s="13" t="s">
        <v>19</v>
      </c>
    </row>
    <row r="24" spans="1:7" ht="15.75">
      <c r="A24" s="51"/>
      <c r="B24" s="52"/>
      <c r="C24" s="53"/>
      <c r="D24" s="52"/>
      <c r="F24">
        <v>5</v>
      </c>
      <c r="G24" s="13" t="s">
        <v>98</v>
      </c>
    </row>
    <row r="25" spans="1:7" ht="82.5" customHeight="1" thickBot="1">
      <c r="A25" s="40"/>
      <c r="B25" s="45"/>
      <c r="C25" s="43"/>
      <c r="D25" s="45"/>
      <c r="F25">
        <v>0</v>
      </c>
      <c r="G25" s="13" t="s">
        <v>99</v>
      </c>
    </row>
    <row r="26" spans="1:7" ht="15.75">
      <c r="A26" s="39" t="s">
        <v>20</v>
      </c>
      <c r="B26" s="44" t="s">
        <v>21</v>
      </c>
      <c r="C26" s="41" t="s">
        <v>22</v>
      </c>
      <c r="D26" s="44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>3</v>
      </c>
      <c r="F26">
        <v>3</v>
      </c>
      <c r="G26" s="13" t="s">
        <v>22</v>
      </c>
    </row>
    <row r="27" spans="1:7" ht="41.25" customHeight="1" thickBot="1">
      <c r="A27" s="40"/>
      <c r="B27" s="45"/>
      <c r="C27" s="43"/>
      <c r="D27" s="45"/>
      <c r="F27">
        <v>0</v>
      </c>
      <c r="G27" s="13" t="s">
        <v>100</v>
      </c>
    </row>
    <row r="28" spans="1:7" ht="15.75">
      <c r="A28" s="39" t="s">
        <v>23</v>
      </c>
      <c r="B28" s="44" t="s">
        <v>24</v>
      </c>
      <c r="C28" s="41" t="s">
        <v>101</v>
      </c>
      <c r="D28" s="44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>5</v>
      </c>
      <c r="F28">
        <v>5</v>
      </c>
      <c r="G28" s="13" t="s">
        <v>101</v>
      </c>
    </row>
    <row r="29" spans="1:7" ht="15.75">
      <c r="A29" s="51"/>
      <c r="B29" s="52"/>
      <c r="C29" s="53"/>
      <c r="D29" s="52"/>
      <c r="F29">
        <v>3</v>
      </c>
      <c r="G29" s="13" t="s">
        <v>102</v>
      </c>
    </row>
    <row r="30" spans="1:7" ht="61.5" customHeight="1" thickBot="1">
      <c r="A30" s="40"/>
      <c r="B30" s="45"/>
      <c r="C30" s="43"/>
      <c r="D30" s="45"/>
      <c r="F30">
        <v>0</v>
      </c>
      <c r="G30" s="13" t="s">
        <v>103</v>
      </c>
    </row>
    <row r="31" spans="1:7" ht="15.75">
      <c r="A31" s="39" t="s">
        <v>25</v>
      </c>
      <c r="B31" s="44" t="s">
        <v>26</v>
      </c>
      <c r="C31" s="41" t="s">
        <v>104</v>
      </c>
      <c r="D31" s="44">
        <f>IF(IFERROR(SEARCH("Отсутствуют нарушения ТБ", C31), 0) &gt; 0, 10, IF(IFERROR(SEARCH("Имелись нарушения ТБ", C31), 0) &gt; 0, 0, ))</f>
        <v>10</v>
      </c>
      <c r="F31">
        <v>10</v>
      </c>
      <c r="G31" s="13" t="s">
        <v>104</v>
      </c>
    </row>
    <row r="32" spans="1:7" ht="33.75" customHeight="1" thickBot="1">
      <c r="A32" s="40"/>
      <c r="B32" s="45"/>
      <c r="C32" s="43"/>
      <c r="D32" s="45"/>
      <c r="F32">
        <v>0</v>
      </c>
      <c r="G32" s="13" t="s">
        <v>105</v>
      </c>
    </row>
    <row r="33" spans="1:7" ht="15.75">
      <c r="A33" s="39" t="s">
        <v>27</v>
      </c>
      <c r="B33" s="44" t="s">
        <v>28</v>
      </c>
      <c r="C33" s="41" t="s">
        <v>52</v>
      </c>
      <c r="D33" s="44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>10</v>
      </c>
      <c r="F33">
        <v>10</v>
      </c>
      <c r="G33" s="13" t="s">
        <v>52</v>
      </c>
    </row>
    <row r="34" spans="1:7" ht="15.75">
      <c r="A34" s="51"/>
      <c r="B34" s="52"/>
      <c r="C34" s="53"/>
      <c r="D34" s="52"/>
      <c r="F34">
        <v>5</v>
      </c>
      <c r="G34" s="13" t="s">
        <v>106</v>
      </c>
    </row>
    <row r="35" spans="1:7" ht="18" customHeight="1" thickBot="1">
      <c r="A35" s="40"/>
      <c r="B35" s="45"/>
      <c r="C35" s="43"/>
      <c r="D35" s="45"/>
      <c r="F35">
        <v>0</v>
      </c>
      <c r="G35" s="13" t="s">
        <v>107</v>
      </c>
    </row>
    <row r="36" spans="1:7" ht="15.75">
      <c r="A36" s="39" t="s">
        <v>29</v>
      </c>
      <c r="B36" s="44" t="s">
        <v>30</v>
      </c>
      <c r="C36" s="41" t="s">
        <v>31</v>
      </c>
      <c r="D36" s="44">
        <f>IF(IFERROR(SEARCH("Материальные средства ", C36), 0) &gt; 0, 5, IF(IFERROR(SEARCH("Не выполнены ", C36), 0) &gt; 0, 0, ))</f>
        <v>5</v>
      </c>
      <c r="F36">
        <v>5</v>
      </c>
      <c r="G36" s="13" t="s">
        <v>31</v>
      </c>
    </row>
    <row r="37" spans="1:7" ht="45" customHeight="1" thickBot="1">
      <c r="A37" s="40"/>
      <c r="B37" s="45"/>
      <c r="C37" s="43"/>
      <c r="D37" s="45"/>
      <c r="F37">
        <v>0</v>
      </c>
      <c r="G37" s="13" t="s">
        <v>110</v>
      </c>
    </row>
    <row r="38" spans="1:7" ht="15.75">
      <c r="A38" s="39" t="s">
        <v>32</v>
      </c>
      <c r="B38" s="44" t="s">
        <v>33</v>
      </c>
      <c r="C38" s="41" t="s">
        <v>108</v>
      </c>
      <c r="D38" s="44">
        <f>IF(IFERROR(SEARCH("5", C38), 0) &gt; 0, 2, IF(IFERROR(SEARCH("4", C38), 0) &gt; 0, 1, ))</f>
        <v>2</v>
      </c>
      <c r="F38">
        <v>2</v>
      </c>
      <c r="G38" s="13" t="s">
        <v>108</v>
      </c>
    </row>
    <row r="39" spans="1:7" ht="103.5" customHeight="1" thickBot="1">
      <c r="A39" s="40"/>
      <c r="B39" s="45"/>
      <c r="C39" s="43"/>
      <c r="D39" s="45"/>
      <c r="F39">
        <v>1</v>
      </c>
      <c r="G39" s="13" t="s">
        <v>109</v>
      </c>
    </row>
    <row r="40" spans="1:7">
      <c r="A40" s="46" t="s">
        <v>34</v>
      </c>
      <c r="B40" s="47"/>
      <c r="C40" s="66"/>
      <c r="D40" s="68">
        <f>SUM(D7:D39)</f>
        <v>71</v>
      </c>
      <c r="E40" s="65"/>
    </row>
    <row r="41" spans="1:7" ht="15.75" thickBot="1">
      <c r="A41" s="48"/>
      <c r="B41" s="49"/>
      <c r="C41" s="67"/>
      <c r="D41" s="69"/>
      <c r="E41" s="65"/>
    </row>
    <row r="43" spans="1:7" ht="20.25">
      <c r="A43" s="37" t="s">
        <v>35</v>
      </c>
      <c r="B43" s="37"/>
      <c r="C43" s="37"/>
      <c r="D43" s="5"/>
      <c r="E43" s="5"/>
    </row>
    <row r="44" spans="1:7" ht="20.25">
      <c r="A44" s="37"/>
      <c r="B44" s="37"/>
      <c r="C44" s="37"/>
      <c r="D44" s="6"/>
      <c r="E44" s="6"/>
    </row>
    <row r="45" spans="1:7" ht="20.25">
      <c r="A45" s="5"/>
      <c r="B45" s="5"/>
      <c r="C45" s="5" t="s">
        <v>36</v>
      </c>
      <c r="D45" s="5"/>
      <c r="E45" s="5"/>
    </row>
    <row r="46" spans="1:7" ht="20.25">
      <c r="A46" s="5"/>
      <c r="B46" s="5"/>
      <c r="C46" s="5" t="s">
        <v>289</v>
      </c>
    </row>
  </sheetData>
  <mergeCells count="63">
    <mergeCell ref="A1:E1"/>
    <mergeCell ref="A2:E2"/>
    <mergeCell ref="A3:E3"/>
    <mergeCell ref="A4:E4"/>
    <mergeCell ref="B5:B6"/>
    <mergeCell ref="C5:C6"/>
    <mergeCell ref="D5:D6"/>
    <mergeCell ref="A7:A9"/>
    <mergeCell ref="B7:B9"/>
    <mergeCell ref="C7:C9"/>
    <mergeCell ref="D7:D9"/>
    <mergeCell ref="A10:A11"/>
    <mergeCell ref="B10:B11"/>
    <mergeCell ref="C10:C11"/>
    <mergeCell ref="D10:D11"/>
    <mergeCell ref="A12:A14"/>
    <mergeCell ref="B12:B14"/>
    <mergeCell ref="C12:C14"/>
    <mergeCell ref="D12:D14"/>
    <mergeCell ref="A15:A17"/>
    <mergeCell ref="B15:B17"/>
    <mergeCell ref="C15:C17"/>
    <mergeCell ref="D15:D17"/>
    <mergeCell ref="A18:A20"/>
    <mergeCell ref="B18:B20"/>
    <mergeCell ref="C18:C20"/>
    <mergeCell ref="D18:D20"/>
    <mergeCell ref="A21:A22"/>
    <mergeCell ref="B21:B22"/>
    <mergeCell ref="C21:C22"/>
    <mergeCell ref="D21:D22"/>
    <mergeCell ref="A23:A25"/>
    <mergeCell ref="B23:B25"/>
    <mergeCell ref="C23:C25"/>
    <mergeCell ref="D23:D25"/>
    <mergeCell ref="A26:A27"/>
    <mergeCell ref="B26:B27"/>
    <mergeCell ref="C26:C27"/>
    <mergeCell ref="D26:D27"/>
    <mergeCell ref="A28:A30"/>
    <mergeCell ref="B28:B30"/>
    <mergeCell ref="C28:C30"/>
    <mergeCell ref="D28:D30"/>
    <mergeCell ref="A31:A32"/>
    <mergeCell ref="B31:B32"/>
    <mergeCell ref="C31:C32"/>
    <mergeCell ref="D31:D32"/>
    <mergeCell ref="A33:A35"/>
    <mergeCell ref="B33:B35"/>
    <mergeCell ref="C33:C35"/>
    <mergeCell ref="D33:D35"/>
    <mergeCell ref="A36:A37"/>
    <mergeCell ref="B36:B37"/>
    <mergeCell ref="C36:C37"/>
    <mergeCell ref="D36:D37"/>
    <mergeCell ref="E40:E41"/>
    <mergeCell ref="A43:C44"/>
    <mergeCell ref="A38:A39"/>
    <mergeCell ref="B38:B39"/>
    <mergeCell ref="C38:C39"/>
    <mergeCell ref="D38:D39"/>
    <mergeCell ref="A40:C41"/>
    <mergeCell ref="D40:D41"/>
  </mergeCells>
  <dataValidations count="13">
    <dataValidation type="list" allowBlank="1" showInputMessage="1" showErrorMessage="1" sqref="C38:C39">
      <formula1>$G$38:$G$39</formula1>
    </dataValidation>
    <dataValidation type="list" allowBlank="1" showInputMessage="1" showErrorMessage="1" sqref="C36:C37">
      <formula1>$G$36:$G$37</formula1>
    </dataValidation>
    <dataValidation type="list" allowBlank="1" showInputMessage="1" showErrorMessage="1" sqref="C33:C35">
      <formula1>$G$33:$G$35</formula1>
    </dataValidation>
    <dataValidation type="list" allowBlank="1" showInputMessage="1" showErrorMessage="1" sqref="C31:C32">
      <formula1>$G$31:$G$32</formula1>
    </dataValidation>
    <dataValidation type="list" allowBlank="1" showInputMessage="1" showErrorMessage="1" sqref="C28:C30">
      <formula1>$G$28:$G$30</formula1>
    </dataValidation>
    <dataValidation type="list" allowBlank="1" showInputMessage="1" showErrorMessage="1" sqref="C26:C27">
      <formula1>$G$26:$G$27</formula1>
    </dataValidation>
    <dataValidation type="list" allowBlank="1" showInputMessage="1" showErrorMessage="1" sqref="C23:C25">
      <formula1>$G$23:$G$25</formula1>
    </dataValidation>
    <dataValidation type="list" allowBlank="1" showInputMessage="1" showErrorMessage="1" sqref="C21:C22">
      <formula1>$G$21:$G$22</formula1>
    </dataValidation>
    <dataValidation type="list" allowBlank="1" showInputMessage="1" showErrorMessage="1" sqref="C18:C20">
      <formula1>$G$18:$G$20</formula1>
    </dataValidation>
    <dataValidation type="list" allowBlank="1" showInputMessage="1" showErrorMessage="1" sqref="C15:C17">
      <formula1>$G$15:$G$17</formula1>
    </dataValidation>
    <dataValidation type="list" allowBlank="1" showInputMessage="1" showErrorMessage="1" sqref="C12:C14">
      <formula1>$G$12:$G$14</formula1>
    </dataValidation>
    <dataValidation type="list" allowBlank="1" showInputMessage="1" showErrorMessage="1" sqref="C10:C11">
      <formula1>$G$10:$G$11</formula1>
    </dataValidation>
    <dataValidation type="list" allowBlank="1" showInputMessage="1" showErrorMessage="1" sqref="C7:C9">
      <formula1>$G$7:$G$9</formula1>
    </dataValidation>
  </dataValidation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sheetPr>
    <tabColor rgb="FFFFFF00"/>
  </sheetPr>
  <dimension ref="A1:U46"/>
  <sheetViews>
    <sheetView topLeftCell="A7" zoomScale="55" zoomScaleNormal="55" workbookViewId="0">
      <selection activeCell="C15" sqref="C15:C17"/>
    </sheetView>
  </sheetViews>
  <sheetFormatPr defaultRowHeight="15"/>
  <cols>
    <col min="2" max="2" width="26" customWidth="1"/>
    <col min="3" max="3" width="58.5703125" customWidth="1"/>
    <col min="4" max="4" width="28.42578125" customWidth="1"/>
    <col min="5" max="5" width="24.140625" hidden="1" customWidth="1"/>
    <col min="6" max="6" width="24" hidden="1" customWidth="1"/>
    <col min="7" max="7" width="1.85546875" hidden="1" customWidth="1"/>
    <col min="8" max="8" width="18.42578125" customWidth="1"/>
  </cols>
  <sheetData>
    <row r="1" spans="1:21" ht="20.25">
      <c r="A1" s="56" t="s">
        <v>0</v>
      </c>
      <c r="B1" s="56"/>
      <c r="C1" s="56"/>
      <c r="D1" s="56"/>
      <c r="E1" s="56"/>
    </row>
    <row r="2" spans="1:21" ht="18.75">
      <c r="A2" s="57" t="s">
        <v>1</v>
      </c>
      <c r="B2" s="57"/>
      <c r="C2" s="57"/>
      <c r="D2" s="57"/>
      <c r="E2" s="57"/>
    </row>
    <row r="3" spans="1:21" ht="18.75" customHeight="1">
      <c r="A3" s="58" t="s">
        <v>298</v>
      </c>
      <c r="B3" s="57"/>
      <c r="C3" s="57"/>
      <c r="D3" s="57"/>
      <c r="E3" s="57"/>
    </row>
    <row r="4" spans="1:21" ht="16.5" thickBot="1">
      <c r="A4" s="59"/>
      <c r="B4" s="59"/>
      <c r="C4" s="59"/>
      <c r="D4" s="59"/>
      <c r="E4" s="59"/>
    </row>
    <row r="5" spans="1:21" ht="15.75">
      <c r="A5" s="2" t="s">
        <v>3</v>
      </c>
      <c r="B5" s="60" t="s">
        <v>54</v>
      </c>
      <c r="C5" s="60" t="s">
        <v>55</v>
      </c>
      <c r="D5" s="60" t="s">
        <v>42</v>
      </c>
    </row>
    <row r="6" spans="1:21" ht="16.5" thickBot="1">
      <c r="A6" s="4" t="s">
        <v>4</v>
      </c>
      <c r="B6" s="61"/>
      <c r="C6" s="61"/>
      <c r="D6" s="61"/>
    </row>
    <row r="7" spans="1:21" ht="13.5" customHeight="1">
      <c r="A7" s="39" t="s">
        <v>5</v>
      </c>
      <c r="B7" s="44" t="s">
        <v>6</v>
      </c>
      <c r="C7" s="44" t="s">
        <v>83</v>
      </c>
      <c r="D7" s="44">
        <f>IF(IFERROR(SEARCH("подразделения ≥ 4,5", C7), 0) &gt; 0, 5, IF(IFERROR(SEARCH("подразделения ≥ 4,0", C7), 0) &gt; 0, 3, IF(IFERROR(SEARCH("&lt;", C7), 0) &gt; 0, 0,)))</f>
        <v>3</v>
      </c>
      <c r="F7">
        <v>5</v>
      </c>
      <c r="G7" s="16" t="s">
        <v>82</v>
      </c>
      <c r="N7" s="15"/>
      <c r="U7" s="15"/>
    </row>
    <row r="8" spans="1:21" ht="20.25" customHeight="1">
      <c r="A8" s="51"/>
      <c r="B8" s="54"/>
      <c r="C8" s="52"/>
      <c r="D8" s="52"/>
      <c r="F8">
        <v>3</v>
      </c>
      <c r="G8" s="17" t="s">
        <v>83</v>
      </c>
      <c r="N8" s="13"/>
      <c r="U8" s="13"/>
    </row>
    <row r="9" spans="1:21" ht="18" customHeight="1" thickBot="1">
      <c r="A9" s="40"/>
      <c r="B9" s="55"/>
      <c r="C9" s="45"/>
      <c r="D9" s="45"/>
      <c r="F9">
        <v>0</v>
      </c>
      <c r="G9" s="18" t="s">
        <v>84</v>
      </c>
    </row>
    <row r="10" spans="1:21">
      <c r="A10" s="39" t="s">
        <v>7</v>
      </c>
      <c r="B10" s="44" t="s">
        <v>8</v>
      </c>
      <c r="C10" s="44" t="s">
        <v>86</v>
      </c>
      <c r="D10" s="44">
        <f>IF(IFERROR(SEARCH("отсутствуют", C10), 0) &gt; 0, 10, IF(IFERROR(SEARCH("имеются", C10), 0) &gt; 0, 0, ))</f>
        <v>0</v>
      </c>
      <c r="F10">
        <v>10</v>
      </c>
      <c r="G10" t="s">
        <v>85</v>
      </c>
    </row>
    <row r="11" spans="1:21" ht="24.75" customHeight="1" thickBot="1">
      <c r="A11" s="40"/>
      <c r="B11" s="45"/>
      <c r="C11" s="45"/>
      <c r="D11" s="45"/>
      <c r="F11">
        <v>0</v>
      </c>
      <c r="G11" s="13" t="s">
        <v>86</v>
      </c>
    </row>
    <row r="12" spans="1:21" ht="18" customHeight="1" thickBot="1">
      <c r="A12" s="39" t="s">
        <v>9</v>
      </c>
      <c r="B12" s="44" t="s">
        <v>10</v>
      </c>
      <c r="C12" s="44" t="s">
        <v>88</v>
      </c>
      <c r="D12" s="44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>3</v>
      </c>
      <c r="F12">
        <v>5</v>
      </c>
      <c r="G12" s="14" t="s">
        <v>87</v>
      </c>
    </row>
    <row r="13" spans="1:21" ht="15.75">
      <c r="A13" s="51"/>
      <c r="B13" s="52"/>
      <c r="C13" s="52"/>
      <c r="D13" s="52"/>
      <c r="F13">
        <v>3</v>
      </c>
      <c r="G13" s="13" t="s">
        <v>88</v>
      </c>
    </row>
    <row r="14" spans="1:21" ht="16.5" thickBot="1">
      <c r="A14" s="40"/>
      <c r="B14" s="45"/>
      <c r="C14" s="45"/>
      <c r="D14" s="45"/>
      <c r="F14">
        <v>0</v>
      </c>
      <c r="G14" s="13" t="s">
        <v>89</v>
      </c>
    </row>
    <row r="15" spans="1:21" ht="15.75">
      <c r="A15" s="39" t="s">
        <v>11</v>
      </c>
      <c r="B15" s="44" t="s">
        <v>12</v>
      </c>
      <c r="C15" s="41" t="s">
        <v>90</v>
      </c>
      <c r="D15" s="44">
        <f>IF(IFERROR(SEARCH("Отсутствуют", C15), 0) &gt; 0, 5, IF(IFERROR(SEARCH("Наличие одного", C15), 0) &gt; 0, 3, IF(IFERROR(SEARCH("Наличие двух", C15), 0) &gt; 0, 0,)))</f>
        <v>5</v>
      </c>
      <c r="F15">
        <v>5</v>
      </c>
      <c r="G15" s="19" t="s">
        <v>90</v>
      </c>
    </row>
    <row r="16" spans="1:21" ht="15.75">
      <c r="A16" s="51"/>
      <c r="B16" s="52"/>
      <c r="C16" s="53"/>
      <c r="D16" s="52"/>
      <c r="F16">
        <v>3</v>
      </c>
      <c r="G16" s="13" t="s">
        <v>91</v>
      </c>
    </row>
    <row r="17" spans="1:7" ht="92.25" customHeight="1" thickBot="1">
      <c r="A17" s="40"/>
      <c r="B17" s="45"/>
      <c r="C17" s="43"/>
      <c r="D17" s="45"/>
      <c r="F17">
        <v>0</v>
      </c>
      <c r="G17" s="13" t="s">
        <v>92</v>
      </c>
    </row>
    <row r="18" spans="1:7" ht="15" customHeight="1" thickBot="1">
      <c r="A18" s="39" t="s">
        <v>13</v>
      </c>
      <c r="B18" s="44" t="s">
        <v>14</v>
      </c>
      <c r="C18" s="41" t="s">
        <v>93</v>
      </c>
      <c r="D18" s="44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>10</v>
      </c>
      <c r="F18">
        <v>10</v>
      </c>
      <c r="G18" s="13" t="s">
        <v>93</v>
      </c>
    </row>
    <row r="19" spans="1:7" ht="15" customHeight="1" thickBot="1">
      <c r="A19" s="51"/>
      <c r="B19" s="52"/>
      <c r="C19" s="53"/>
      <c r="D19" s="52"/>
      <c r="F19">
        <v>2</v>
      </c>
      <c r="G19" s="14" t="s">
        <v>94</v>
      </c>
    </row>
    <row r="20" spans="1:7" ht="57" customHeight="1" thickBot="1">
      <c r="A20" s="40"/>
      <c r="B20" s="45"/>
      <c r="C20" s="43"/>
      <c r="D20" s="45"/>
      <c r="F20">
        <v>0</v>
      </c>
      <c r="G20" s="13" t="s">
        <v>95</v>
      </c>
    </row>
    <row r="21" spans="1:7" ht="15.75">
      <c r="A21" s="39" t="s">
        <v>15</v>
      </c>
      <c r="B21" s="44" t="s">
        <v>16</v>
      </c>
      <c r="C21" s="41" t="s">
        <v>96</v>
      </c>
      <c r="D21" s="44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>5</v>
      </c>
      <c r="F21">
        <v>5</v>
      </c>
      <c r="G21" s="13" t="s">
        <v>96</v>
      </c>
    </row>
    <row r="22" spans="1:7" ht="42.75" customHeight="1" thickBot="1">
      <c r="A22" s="40"/>
      <c r="B22" s="45"/>
      <c r="C22" s="43"/>
      <c r="D22" s="45"/>
      <c r="F22">
        <v>0</v>
      </c>
      <c r="G22" s="13" t="s">
        <v>97</v>
      </c>
    </row>
    <row r="23" spans="1:7" ht="15.75">
      <c r="A23" s="39" t="s">
        <v>17</v>
      </c>
      <c r="B23" s="44" t="s">
        <v>18</v>
      </c>
      <c r="C23" s="41" t="s">
        <v>19</v>
      </c>
      <c r="D23" s="44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>10</v>
      </c>
      <c r="F23">
        <v>10</v>
      </c>
      <c r="G23" s="13" t="s">
        <v>19</v>
      </c>
    </row>
    <row r="24" spans="1:7" ht="15.75">
      <c r="A24" s="51"/>
      <c r="B24" s="52"/>
      <c r="C24" s="53"/>
      <c r="D24" s="52"/>
      <c r="F24">
        <v>5</v>
      </c>
      <c r="G24" s="13" t="s">
        <v>98</v>
      </c>
    </row>
    <row r="25" spans="1:7" ht="82.5" customHeight="1" thickBot="1">
      <c r="A25" s="40"/>
      <c r="B25" s="45"/>
      <c r="C25" s="43"/>
      <c r="D25" s="45"/>
      <c r="F25">
        <v>0</v>
      </c>
      <c r="G25" s="13" t="s">
        <v>99</v>
      </c>
    </row>
    <row r="26" spans="1:7" ht="15.75">
      <c r="A26" s="39" t="s">
        <v>20</v>
      </c>
      <c r="B26" s="44" t="s">
        <v>21</v>
      </c>
      <c r="C26" s="41" t="s">
        <v>22</v>
      </c>
      <c r="D26" s="44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>3</v>
      </c>
      <c r="F26">
        <v>3</v>
      </c>
      <c r="G26" s="13" t="s">
        <v>22</v>
      </c>
    </row>
    <row r="27" spans="1:7" ht="41.25" customHeight="1" thickBot="1">
      <c r="A27" s="40"/>
      <c r="B27" s="45"/>
      <c r="C27" s="43"/>
      <c r="D27" s="45"/>
      <c r="F27">
        <v>0</v>
      </c>
      <c r="G27" s="13" t="s">
        <v>100</v>
      </c>
    </row>
    <row r="28" spans="1:7" ht="15.75">
      <c r="A28" s="39" t="s">
        <v>23</v>
      </c>
      <c r="B28" s="44" t="s">
        <v>24</v>
      </c>
      <c r="C28" s="41" t="s">
        <v>101</v>
      </c>
      <c r="D28" s="44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>5</v>
      </c>
      <c r="F28">
        <v>5</v>
      </c>
      <c r="G28" s="13" t="s">
        <v>101</v>
      </c>
    </row>
    <row r="29" spans="1:7" ht="15.75">
      <c r="A29" s="51"/>
      <c r="B29" s="52"/>
      <c r="C29" s="53"/>
      <c r="D29" s="52"/>
      <c r="F29">
        <v>3</v>
      </c>
      <c r="G29" s="13" t="s">
        <v>102</v>
      </c>
    </row>
    <row r="30" spans="1:7" ht="61.5" customHeight="1" thickBot="1">
      <c r="A30" s="40"/>
      <c r="B30" s="45"/>
      <c r="C30" s="43"/>
      <c r="D30" s="45"/>
      <c r="F30">
        <v>0</v>
      </c>
      <c r="G30" s="13" t="s">
        <v>103</v>
      </c>
    </row>
    <row r="31" spans="1:7" ht="15.75">
      <c r="A31" s="39" t="s">
        <v>25</v>
      </c>
      <c r="B31" s="44" t="s">
        <v>26</v>
      </c>
      <c r="C31" s="41" t="s">
        <v>104</v>
      </c>
      <c r="D31" s="44">
        <f>IF(IFERROR(SEARCH("Отсутствуют нарушения ТБ", C31), 0) &gt; 0, 10, IF(IFERROR(SEARCH("Имелись нарушения ТБ", C31), 0) &gt; 0, 0, ))</f>
        <v>10</v>
      </c>
      <c r="F31">
        <v>10</v>
      </c>
      <c r="G31" s="13" t="s">
        <v>104</v>
      </c>
    </row>
    <row r="32" spans="1:7" ht="33.75" customHeight="1" thickBot="1">
      <c r="A32" s="40"/>
      <c r="B32" s="45"/>
      <c r="C32" s="43"/>
      <c r="D32" s="45"/>
      <c r="F32">
        <v>0</v>
      </c>
      <c r="G32" s="13" t="s">
        <v>105</v>
      </c>
    </row>
    <row r="33" spans="1:7" ht="15.75">
      <c r="A33" s="39" t="s">
        <v>27</v>
      </c>
      <c r="B33" s="44" t="s">
        <v>28</v>
      </c>
      <c r="C33" s="41" t="s">
        <v>52</v>
      </c>
      <c r="D33" s="44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>10</v>
      </c>
      <c r="F33">
        <v>10</v>
      </c>
      <c r="G33" s="13" t="s">
        <v>52</v>
      </c>
    </row>
    <row r="34" spans="1:7" ht="15.75">
      <c r="A34" s="51"/>
      <c r="B34" s="52"/>
      <c r="C34" s="53"/>
      <c r="D34" s="52"/>
      <c r="F34">
        <v>5</v>
      </c>
      <c r="G34" s="13" t="s">
        <v>106</v>
      </c>
    </row>
    <row r="35" spans="1:7" ht="18" customHeight="1" thickBot="1">
      <c r="A35" s="40"/>
      <c r="B35" s="45"/>
      <c r="C35" s="43"/>
      <c r="D35" s="45"/>
      <c r="F35">
        <v>0</v>
      </c>
      <c r="G35" s="13" t="s">
        <v>107</v>
      </c>
    </row>
    <row r="36" spans="1:7" ht="15.75">
      <c r="A36" s="39" t="s">
        <v>29</v>
      </c>
      <c r="B36" s="44" t="s">
        <v>30</v>
      </c>
      <c r="C36" s="41" t="s">
        <v>31</v>
      </c>
      <c r="D36" s="44">
        <f>IF(IFERROR(SEARCH("Материальные средства ", C36), 0) &gt; 0, 5, IF(IFERROR(SEARCH("Не выполнены ", C36), 0) &gt; 0, 0, ))</f>
        <v>5</v>
      </c>
      <c r="F36">
        <v>5</v>
      </c>
      <c r="G36" s="13" t="s">
        <v>31</v>
      </c>
    </row>
    <row r="37" spans="1:7" ht="45" customHeight="1" thickBot="1">
      <c r="A37" s="40"/>
      <c r="B37" s="45"/>
      <c r="C37" s="43"/>
      <c r="D37" s="45"/>
      <c r="F37">
        <v>0</v>
      </c>
      <c r="G37" s="13" t="s">
        <v>110</v>
      </c>
    </row>
    <row r="38" spans="1:7" ht="15.75">
      <c r="A38" s="39" t="s">
        <v>32</v>
      </c>
      <c r="B38" s="44" t="s">
        <v>33</v>
      </c>
      <c r="C38" s="41" t="s">
        <v>108</v>
      </c>
      <c r="D38" s="44">
        <f>IF(IFERROR(SEARCH("5", C38), 0) &gt; 0, 2, IF(IFERROR(SEARCH("4", C38), 0) &gt; 0, 1, ))</f>
        <v>2</v>
      </c>
      <c r="F38">
        <v>2</v>
      </c>
      <c r="G38" s="13" t="s">
        <v>108</v>
      </c>
    </row>
    <row r="39" spans="1:7" ht="103.5" customHeight="1" thickBot="1">
      <c r="A39" s="40"/>
      <c r="B39" s="45"/>
      <c r="C39" s="43"/>
      <c r="D39" s="45"/>
      <c r="F39">
        <v>1</v>
      </c>
      <c r="G39" s="13" t="s">
        <v>109</v>
      </c>
    </row>
    <row r="40" spans="1:7">
      <c r="A40" s="46" t="s">
        <v>34</v>
      </c>
      <c r="B40" s="47"/>
      <c r="C40" s="66"/>
      <c r="D40" s="68">
        <f>SUM(D7:D39)</f>
        <v>71</v>
      </c>
      <c r="E40" s="65"/>
    </row>
    <row r="41" spans="1:7" ht="15.75" thickBot="1">
      <c r="A41" s="48"/>
      <c r="B41" s="49"/>
      <c r="C41" s="67"/>
      <c r="D41" s="69"/>
      <c r="E41" s="65"/>
    </row>
    <row r="43" spans="1:7" ht="20.25">
      <c r="A43" s="37" t="s">
        <v>35</v>
      </c>
      <c r="B43" s="37"/>
      <c r="C43" s="37"/>
      <c r="D43" s="5"/>
      <c r="E43" s="5"/>
    </row>
    <row r="44" spans="1:7" ht="20.25">
      <c r="A44" s="37"/>
      <c r="B44" s="37"/>
      <c r="C44" s="37"/>
      <c r="D44" s="6"/>
      <c r="E44" s="6"/>
    </row>
    <row r="45" spans="1:7" ht="20.25">
      <c r="A45" s="5"/>
      <c r="B45" s="5"/>
      <c r="C45" s="5" t="s">
        <v>36</v>
      </c>
      <c r="D45" s="5"/>
      <c r="E45" s="5"/>
    </row>
    <row r="46" spans="1:7" ht="20.25">
      <c r="A46" s="5"/>
      <c r="B46" s="5"/>
      <c r="C46" s="5" t="s">
        <v>289</v>
      </c>
    </row>
  </sheetData>
  <mergeCells count="63">
    <mergeCell ref="A1:E1"/>
    <mergeCell ref="A2:E2"/>
    <mergeCell ref="A3:E3"/>
    <mergeCell ref="A4:E4"/>
    <mergeCell ref="B5:B6"/>
    <mergeCell ref="C5:C6"/>
    <mergeCell ref="D5:D6"/>
    <mergeCell ref="A7:A9"/>
    <mergeCell ref="B7:B9"/>
    <mergeCell ref="C7:C9"/>
    <mergeCell ref="D7:D9"/>
    <mergeCell ref="A10:A11"/>
    <mergeCell ref="B10:B11"/>
    <mergeCell ref="C10:C11"/>
    <mergeCell ref="D10:D11"/>
    <mergeCell ref="A12:A14"/>
    <mergeCell ref="B12:B14"/>
    <mergeCell ref="C12:C14"/>
    <mergeCell ref="D12:D14"/>
    <mergeCell ref="A15:A17"/>
    <mergeCell ref="B15:B17"/>
    <mergeCell ref="C15:C17"/>
    <mergeCell ref="D15:D17"/>
    <mergeCell ref="A18:A20"/>
    <mergeCell ref="B18:B20"/>
    <mergeCell ref="C18:C20"/>
    <mergeCell ref="D18:D20"/>
    <mergeCell ref="A21:A22"/>
    <mergeCell ref="B21:B22"/>
    <mergeCell ref="C21:C22"/>
    <mergeCell ref="D21:D22"/>
    <mergeCell ref="A23:A25"/>
    <mergeCell ref="B23:B25"/>
    <mergeCell ref="C23:C25"/>
    <mergeCell ref="D23:D25"/>
    <mergeCell ref="A26:A27"/>
    <mergeCell ref="B26:B27"/>
    <mergeCell ref="C26:C27"/>
    <mergeCell ref="D26:D27"/>
    <mergeCell ref="A28:A30"/>
    <mergeCell ref="B28:B30"/>
    <mergeCell ref="C28:C30"/>
    <mergeCell ref="D28:D30"/>
    <mergeCell ref="A31:A32"/>
    <mergeCell ref="B31:B32"/>
    <mergeCell ref="C31:C32"/>
    <mergeCell ref="D31:D32"/>
    <mergeCell ref="A33:A35"/>
    <mergeCell ref="B33:B35"/>
    <mergeCell ref="C33:C35"/>
    <mergeCell ref="D33:D35"/>
    <mergeCell ref="A36:A37"/>
    <mergeCell ref="B36:B37"/>
    <mergeCell ref="C36:C37"/>
    <mergeCell ref="D36:D37"/>
    <mergeCell ref="E40:E41"/>
    <mergeCell ref="A43:C44"/>
    <mergeCell ref="A38:A39"/>
    <mergeCell ref="B38:B39"/>
    <mergeCell ref="C38:C39"/>
    <mergeCell ref="D38:D39"/>
    <mergeCell ref="A40:C41"/>
    <mergeCell ref="D40:D41"/>
  </mergeCells>
  <dataValidations count="13">
    <dataValidation type="list" allowBlank="1" showInputMessage="1" showErrorMessage="1" sqref="C7:C9">
      <formula1>$G$7:$G$9</formula1>
    </dataValidation>
    <dataValidation type="list" allowBlank="1" showInputMessage="1" showErrorMessage="1" sqref="C10:C11">
      <formula1>$G$10:$G$11</formula1>
    </dataValidation>
    <dataValidation type="list" allowBlank="1" showInputMessage="1" showErrorMessage="1" sqref="C12:C14">
      <formula1>$G$12:$G$14</formula1>
    </dataValidation>
    <dataValidation type="list" allowBlank="1" showInputMessage="1" showErrorMessage="1" sqref="C15:C17">
      <formula1>$G$15:$G$17</formula1>
    </dataValidation>
    <dataValidation type="list" allowBlank="1" showInputMessage="1" showErrorMessage="1" sqref="C18:C20">
      <formula1>$G$18:$G$20</formula1>
    </dataValidation>
    <dataValidation type="list" allowBlank="1" showInputMessage="1" showErrorMessage="1" sqref="C21:C22">
      <formula1>$G$21:$G$22</formula1>
    </dataValidation>
    <dataValidation type="list" allowBlank="1" showInputMessage="1" showErrorMessage="1" sqref="C23:C25">
      <formula1>$G$23:$G$25</formula1>
    </dataValidation>
    <dataValidation type="list" allowBlank="1" showInputMessage="1" showErrorMessage="1" sqref="C26:C27">
      <formula1>$G$26:$G$27</formula1>
    </dataValidation>
    <dataValidation type="list" allowBlank="1" showInputMessage="1" showErrorMessage="1" sqref="C28:C30">
      <formula1>$G$28:$G$30</formula1>
    </dataValidation>
    <dataValidation type="list" allowBlank="1" showInputMessage="1" showErrorMessage="1" sqref="C31:C32">
      <formula1>$G$31:$G$32</formula1>
    </dataValidation>
    <dataValidation type="list" allowBlank="1" showInputMessage="1" showErrorMessage="1" sqref="C33:C35">
      <formula1>$G$33:$G$35</formula1>
    </dataValidation>
    <dataValidation type="list" allowBlank="1" showInputMessage="1" showErrorMessage="1" sqref="C36:C37">
      <formula1>$G$36:$G$37</formula1>
    </dataValidation>
    <dataValidation type="list" allowBlank="1" showInputMessage="1" showErrorMessage="1" sqref="C38:C39">
      <formula1>$G$38:$G$39</formula1>
    </dataValidation>
  </dataValidation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sheetPr>
    <tabColor rgb="FFFFFF00"/>
  </sheetPr>
  <dimension ref="A1:L56"/>
  <sheetViews>
    <sheetView zoomScale="55" zoomScaleNormal="55" workbookViewId="0">
      <selection activeCell="G1" sqref="G1:L1048576"/>
    </sheetView>
  </sheetViews>
  <sheetFormatPr defaultRowHeight="15"/>
  <cols>
    <col min="2" max="2" width="26" customWidth="1"/>
    <col min="3" max="3" width="58.5703125" customWidth="1"/>
    <col min="4" max="4" width="28.5703125" customWidth="1"/>
    <col min="5" max="5" width="0.140625" customWidth="1"/>
    <col min="6" max="6" width="0.42578125" customWidth="1"/>
    <col min="7" max="11" width="9.140625" hidden="1" customWidth="1"/>
    <col min="12" max="12" width="12" hidden="1" customWidth="1"/>
    <col min="13" max="13" width="9.140625" customWidth="1"/>
  </cols>
  <sheetData>
    <row r="1" spans="1:12" ht="20.25">
      <c r="A1" s="56" t="s">
        <v>0</v>
      </c>
      <c r="B1" s="56"/>
      <c r="C1" s="56"/>
      <c r="D1" s="56"/>
      <c r="E1" s="56"/>
    </row>
    <row r="2" spans="1:12" ht="18.75">
      <c r="A2" s="57" t="s">
        <v>1</v>
      </c>
      <c r="B2" s="57"/>
      <c r="C2" s="57"/>
      <c r="D2" s="57"/>
      <c r="E2" s="57"/>
    </row>
    <row r="3" spans="1:12" ht="18.75" customHeight="1">
      <c r="A3" s="58" t="s">
        <v>297</v>
      </c>
      <c r="B3" s="57"/>
      <c r="C3" s="57"/>
      <c r="D3" s="57"/>
      <c r="E3" s="57"/>
    </row>
    <row r="4" spans="1:12" ht="16.5" thickBot="1">
      <c r="A4" s="59"/>
      <c r="B4" s="59"/>
      <c r="C4" s="59"/>
      <c r="D4" s="59"/>
      <c r="E4" s="59"/>
    </row>
    <row r="5" spans="1:12" ht="15.75" customHeight="1">
      <c r="A5" s="2" t="s">
        <v>3</v>
      </c>
      <c r="B5" s="60" t="s">
        <v>54</v>
      </c>
      <c r="C5" s="60" t="s">
        <v>55</v>
      </c>
      <c r="D5" s="60" t="s">
        <v>42</v>
      </c>
    </row>
    <row r="6" spans="1:12" ht="16.5" thickBot="1">
      <c r="A6" s="4" t="s">
        <v>4</v>
      </c>
      <c r="B6" s="61"/>
      <c r="C6" s="61"/>
      <c r="D6" s="61"/>
    </row>
    <row r="7" spans="1:12" ht="15" customHeight="1">
      <c r="A7" s="39" t="s">
        <v>5</v>
      </c>
      <c r="B7" s="44" t="s">
        <v>6</v>
      </c>
      <c r="C7" s="44" t="s">
        <v>345</v>
      </c>
      <c r="D7" s="44">
        <f>IF(IFERROR(SEARCH("подразделения ≥ 4,5", C7), 0) &gt; 0, 5, IF(IFERROR(SEARCH("подразделения ≥ 4,0", C7), 0) &gt; 0, 3, IF(IFERROR(SEARCH("&lt;", C7), 0) &gt; 0, 0,)))</f>
        <v>0</v>
      </c>
      <c r="F7">
        <v>5</v>
      </c>
      <c r="G7" s="16" t="s">
        <v>344</v>
      </c>
    </row>
    <row r="8" spans="1:12" ht="15" customHeight="1">
      <c r="A8" s="51"/>
      <c r="B8" s="54"/>
      <c r="C8" s="52"/>
      <c r="D8" s="52"/>
      <c r="F8">
        <v>3</v>
      </c>
      <c r="G8" s="17" t="s">
        <v>343</v>
      </c>
    </row>
    <row r="9" spans="1:12" ht="18.75" customHeight="1" thickBot="1">
      <c r="A9" s="40"/>
      <c r="B9" s="55"/>
      <c r="C9" s="45"/>
      <c r="D9" s="45"/>
      <c r="F9">
        <v>0</v>
      </c>
      <c r="G9" s="18" t="s">
        <v>345</v>
      </c>
    </row>
    <row r="10" spans="1:12" ht="15" customHeight="1">
      <c r="A10" s="39" t="s">
        <v>7</v>
      </c>
      <c r="B10" s="44" t="s">
        <v>8</v>
      </c>
      <c r="C10" s="44" t="s">
        <v>70</v>
      </c>
      <c r="D10" s="44">
        <f>IF(C10="Академические задолжности отсутствуют",10,0)</f>
        <v>0</v>
      </c>
      <c r="F10">
        <v>10</v>
      </c>
    </row>
    <row r="11" spans="1:12" ht="15.75" customHeight="1" thickBot="1">
      <c r="A11" s="40"/>
      <c r="B11" s="45"/>
      <c r="C11" s="45"/>
      <c r="D11" s="45"/>
      <c r="F11">
        <v>0</v>
      </c>
    </row>
    <row r="12" spans="1:12" ht="15" customHeight="1">
      <c r="A12" s="39" t="s">
        <v>9</v>
      </c>
      <c r="B12" s="44" t="s">
        <v>10</v>
      </c>
      <c r="C12" s="44" t="s">
        <v>266</v>
      </c>
      <c r="D12" s="44">
        <f>IF(C12="В подразделении и у КУГ отсутствуют текущие задолжности",5,IF(C12="Имеются менее 20% текущих задолжностей в подразделении или у КУГ",3,IF(C12="Имеются более 20% текущих задолжностей в подразделении или у КУГ",0,)))</f>
        <v>5</v>
      </c>
      <c r="F12">
        <v>5</v>
      </c>
    </row>
    <row r="13" spans="1:12" ht="15" customHeight="1">
      <c r="A13" s="51"/>
      <c r="B13" s="52"/>
      <c r="C13" s="52"/>
      <c r="D13" s="52"/>
      <c r="F13">
        <v>3</v>
      </c>
    </row>
    <row r="14" spans="1:12" ht="15.75" customHeight="1" thickBot="1">
      <c r="A14" s="40"/>
      <c r="B14" s="45"/>
      <c r="C14" s="45"/>
      <c r="D14" s="45"/>
      <c r="F14">
        <v>0</v>
      </c>
    </row>
    <row r="15" spans="1:12" ht="15" customHeight="1">
      <c r="A15" s="39" t="s">
        <v>11</v>
      </c>
      <c r="B15" s="44" t="s">
        <v>39</v>
      </c>
      <c r="C15" s="64" t="s">
        <v>40</v>
      </c>
      <c r="D15" s="44">
        <f>IF(C15="Подразделение прибыло на занятие своевременно; дежурный по аудитории назначен; ЖУУЗ и классная доска оформлены; литература, конспекты, ПЭВМ (по необходимости) получены; внутренний порядок в аудитории поддерживается",5,IF(C15="Подразделение прибыло на занятие своевременно; дежурный по аудитории назначен; литература, конспекты, ПЭВМ (по необходимости) получены; ЖУУЗ или классная доска оформлены не своевременно; или имеются отклонения по  внутреннему порядку в аудитории",3,IF(C15="одразделение опоздало на занятие; или ЖУУЗ и классная доска не оформлены; литература, конспекты, ПЭВМ (по необходимости) не получены; или внутренний порядок в аудитории не поддерживается ",0,)))</f>
        <v>5</v>
      </c>
      <c r="F15">
        <v>5</v>
      </c>
      <c r="L15" s="13" t="s">
        <v>40</v>
      </c>
    </row>
    <row r="16" spans="1:12" ht="15" customHeight="1">
      <c r="A16" s="51"/>
      <c r="B16" s="52"/>
      <c r="C16" s="62"/>
      <c r="D16" s="52"/>
      <c r="F16">
        <v>3</v>
      </c>
      <c r="L16" s="13" t="s">
        <v>77</v>
      </c>
    </row>
    <row r="17" spans="1:12" ht="52.5" customHeight="1" thickBot="1">
      <c r="A17" s="40"/>
      <c r="B17" s="45"/>
      <c r="C17" s="63"/>
      <c r="D17" s="45"/>
      <c r="F17">
        <v>0</v>
      </c>
      <c r="L17" t="s">
        <v>78</v>
      </c>
    </row>
    <row r="18" spans="1:12" ht="15" customHeight="1" thickBot="1">
      <c r="A18" s="39" t="s">
        <v>13</v>
      </c>
      <c r="B18" s="44" t="s">
        <v>41</v>
      </c>
      <c r="C18" s="64" t="s">
        <v>79</v>
      </c>
      <c r="D18" s="44">
        <f>IF(IFERROR(SEARCH("30%", C18), 0) &gt; 0, 5, IF(IFERROR(SEARCH("10%", C18), 0) &gt; 0, 3, IF(IFERROR(SEARCH("не получены", C18), 0) &gt; 0, 0,)))</f>
        <v>5</v>
      </c>
      <c r="F18">
        <v>10</v>
      </c>
      <c r="L18" s="14" t="s">
        <v>79</v>
      </c>
    </row>
    <row r="19" spans="1:12" ht="15" customHeight="1">
      <c r="A19" s="51"/>
      <c r="B19" s="52"/>
      <c r="C19" s="62"/>
      <c r="D19" s="52"/>
      <c r="F19">
        <v>2</v>
      </c>
      <c r="L19" s="13" t="s">
        <v>80</v>
      </c>
    </row>
    <row r="20" spans="1:12" ht="105" customHeight="1" thickBot="1">
      <c r="A20" s="40"/>
      <c r="B20" s="45"/>
      <c r="C20" s="63"/>
      <c r="D20" s="45"/>
      <c r="F20">
        <v>0</v>
      </c>
      <c r="L20" s="13" t="s">
        <v>81</v>
      </c>
    </row>
    <row r="21" spans="1:12" ht="15" customHeight="1">
      <c r="A21" s="39" t="s">
        <v>15</v>
      </c>
      <c r="B21" s="44" t="s">
        <v>12</v>
      </c>
      <c r="C21" s="41" t="s">
        <v>261</v>
      </c>
      <c r="D21" s="44">
        <f>IF(C21="Замечания в подразделении и у КУГ отсутствуют",5,IF(C21="В подразделении 2 замечания у КУГ отсутствуют",3,IF(C21="В подразделении 3 и более замечаний или замечания у КУГ",0,)))</f>
        <v>3</v>
      </c>
      <c r="F21">
        <v>5</v>
      </c>
    </row>
    <row r="22" spans="1:12" ht="15.75" customHeight="1">
      <c r="A22" s="51"/>
      <c r="B22" s="52"/>
      <c r="C22" s="53"/>
      <c r="D22" s="52"/>
      <c r="F22">
        <v>0</v>
      </c>
    </row>
    <row r="23" spans="1:12" ht="82.5" customHeight="1" thickBot="1">
      <c r="A23" s="40"/>
      <c r="B23" s="45"/>
      <c r="C23" s="43"/>
      <c r="D23" s="45"/>
      <c r="F23">
        <v>10</v>
      </c>
    </row>
    <row r="24" spans="1:12" ht="15" customHeight="1">
      <c r="A24" s="39" t="s">
        <v>17</v>
      </c>
      <c r="B24" s="44" t="s">
        <v>14</v>
      </c>
      <c r="C24" s="41" t="s">
        <v>262</v>
      </c>
      <c r="D24" s="44">
        <f>IF(C24="ПРО, ПРЕ, ГДП в подразделении и КУГ отсутствуют",10,IF(C24="ПРО, ПРЕ отсутствуют, имеются не снятые взыскания за ГДП в подразделении, у КУГ отсутствуют",2,IF(C24="Совершено ПРО, ПРЕ, ГДП в подразделении или КУГ или допущено сокрытие",0,)))</f>
        <v>10</v>
      </c>
      <c r="F24">
        <v>5</v>
      </c>
    </row>
    <row r="25" spans="1:12" ht="15.75" customHeight="1">
      <c r="A25" s="51"/>
      <c r="B25" s="52"/>
      <c r="C25" s="53"/>
      <c r="D25" s="52"/>
      <c r="F25">
        <v>0</v>
      </c>
    </row>
    <row r="26" spans="1:12" ht="52.5" customHeight="1" thickBot="1">
      <c r="A26" s="40"/>
      <c r="B26" s="45"/>
      <c r="C26" s="43"/>
      <c r="D26" s="45"/>
      <c r="F26">
        <v>3</v>
      </c>
    </row>
    <row r="27" spans="1:12" ht="15.75" customHeight="1">
      <c r="A27" s="39" t="s">
        <v>20</v>
      </c>
      <c r="B27" s="44" t="s">
        <v>16</v>
      </c>
      <c r="C27" s="41" t="s">
        <v>57</v>
      </c>
      <c r="D27" s="44">
        <f>IF(C27="Дисциплинарная практика к подчиненному личному составу ведется",5,0)</f>
        <v>5</v>
      </c>
      <c r="F27">
        <v>0</v>
      </c>
    </row>
    <row r="28" spans="1:12" ht="15" customHeight="1" thickBot="1">
      <c r="A28" s="40"/>
      <c r="B28" s="45"/>
      <c r="C28" s="43"/>
      <c r="D28" s="45"/>
      <c r="F28">
        <v>5</v>
      </c>
    </row>
    <row r="29" spans="1:12" ht="15" customHeight="1">
      <c r="A29" s="39" t="s">
        <v>23</v>
      </c>
      <c r="B29" s="44" t="s">
        <v>18</v>
      </c>
      <c r="C29" s="41" t="s">
        <v>60</v>
      </c>
      <c r="D29" s="44">
        <f>IF(C29="Обстановкой владеет, доклады представляет, книжка сержантов актуальна",10,IF(C29="Обстановкой владеет, доклады представляет, книжка сержантов не актуальна",5,IF(C29="Обстановкой не владеет, доклады не представляет, книжка сержантов не актуальна",0,)))</f>
        <v>10</v>
      </c>
      <c r="F29">
        <v>3</v>
      </c>
    </row>
    <row r="30" spans="1:12" ht="15.75" customHeight="1">
      <c r="A30" s="51"/>
      <c r="B30" s="52"/>
      <c r="C30" s="53"/>
      <c r="D30" s="52"/>
      <c r="F30">
        <v>0</v>
      </c>
    </row>
    <row r="31" spans="1:12" ht="105" customHeight="1" thickBot="1">
      <c r="A31" s="40"/>
      <c r="B31" s="45"/>
      <c r="C31" s="43"/>
      <c r="D31" s="45"/>
      <c r="F31">
        <v>10</v>
      </c>
    </row>
    <row r="32" spans="1:12" ht="26.25" customHeight="1">
      <c r="A32" s="39" t="s">
        <v>25</v>
      </c>
      <c r="B32" s="44" t="s">
        <v>21</v>
      </c>
      <c r="C32" s="41" t="s">
        <v>75</v>
      </c>
      <c r="D32" s="44">
        <f>IF(C32="Подведение итогов актуально, поставлены конкретные задачи и проводится в установленное время",3,0)</f>
        <v>3</v>
      </c>
      <c r="F32">
        <v>0</v>
      </c>
    </row>
    <row r="33" spans="1:6" ht="30" customHeight="1" thickBot="1">
      <c r="A33" s="40"/>
      <c r="B33" s="45"/>
      <c r="C33" s="43"/>
      <c r="D33" s="45"/>
      <c r="F33">
        <v>10</v>
      </c>
    </row>
    <row r="34" spans="1:6" ht="15" customHeight="1">
      <c r="A34" s="51" t="s">
        <v>27</v>
      </c>
      <c r="B34" s="52" t="s">
        <v>43</v>
      </c>
      <c r="C34" s="41" t="s">
        <v>263</v>
      </c>
      <c r="D34" s="62">
        <f>IF(C34="Увольнения распределены равномерно",2,0)</f>
        <v>2</v>
      </c>
      <c r="F34">
        <v>5</v>
      </c>
    </row>
    <row r="35" spans="1:6" ht="15.75" customHeight="1" thickBot="1">
      <c r="A35" s="40"/>
      <c r="B35" s="45"/>
      <c r="C35" s="43"/>
      <c r="D35" s="63"/>
      <c r="F35">
        <v>0</v>
      </c>
    </row>
    <row r="36" spans="1:6" ht="15" customHeight="1">
      <c r="A36" s="39" t="s">
        <v>29</v>
      </c>
      <c r="B36" s="44" t="s">
        <v>44</v>
      </c>
      <c r="C36" s="44" t="s">
        <v>61</v>
      </c>
      <c r="D36" s="64">
        <f>IF(C36="Наряды и уборщики распределены равномерно",2,IF(C36="Наряды распределены равномерно, уборщики не равномерно",1,IF(C36="Наряды и уборщики распределены не равномерно",0,)))</f>
        <v>2</v>
      </c>
      <c r="F36">
        <v>5</v>
      </c>
    </row>
    <row r="37" spans="1:6" ht="15.75" customHeight="1">
      <c r="A37" s="51"/>
      <c r="B37" s="52"/>
      <c r="C37" s="52"/>
      <c r="D37" s="62"/>
      <c r="F37">
        <v>0</v>
      </c>
    </row>
    <row r="38" spans="1:6" ht="38.25" customHeight="1" thickBot="1">
      <c r="A38" s="40"/>
      <c r="B38" s="45"/>
      <c r="C38" s="45"/>
      <c r="D38" s="63"/>
      <c r="F38">
        <v>2</v>
      </c>
    </row>
    <row r="39" spans="1:6" ht="15.75" customHeight="1">
      <c r="A39" s="39" t="s">
        <v>32</v>
      </c>
      <c r="B39" s="44" t="s">
        <v>24</v>
      </c>
      <c r="C39" s="41" t="s">
        <v>336</v>
      </c>
      <c r="D39" s="44">
        <f>IF(C39="Замечания у подчиненного л/с отсутствуют, КУГ оценен не ниже «хорошо»",5,IF(C39="Выявлено не более 2 замечаний у подчиненного л/с, КУГ оценен не ниже «хорошо»",3,IF(C39="Л/с отстранен или выявлено более 2 замечаний, КУГ оценен ниже «хорошо»",0,)))</f>
        <v>3</v>
      </c>
      <c r="F39">
        <v>1</v>
      </c>
    </row>
    <row r="40" spans="1:6" ht="15" customHeight="1">
      <c r="A40" s="51"/>
      <c r="B40" s="52"/>
      <c r="C40" s="53"/>
      <c r="D40" s="52"/>
    </row>
    <row r="41" spans="1:6" ht="40.5" customHeight="1" thickBot="1">
      <c r="A41" s="40"/>
      <c r="B41" s="45"/>
      <c r="C41" s="43"/>
      <c r="D41" s="45"/>
    </row>
    <row r="42" spans="1:6">
      <c r="A42" s="39" t="s">
        <v>45</v>
      </c>
      <c r="B42" s="44" t="s">
        <v>26</v>
      </c>
      <c r="C42" s="41" t="s">
        <v>65</v>
      </c>
      <c r="D42" s="44">
        <f>IF(C42="Нарушений ТБ, приведших к травматизму л/с нет",10,0)</f>
        <v>10</v>
      </c>
    </row>
    <row r="43" spans="1:6" ht="44.25" customHeight="1" thickBot="1">
      <c r="A43" s="40"/>
      <c r="B43" s="45"/>
      <c r="C43" s="43"/>
      <c r="D43" s="45"/>
    </row>
    <row r="44" spans="1:6">
      <c r="A44" s="39" t="s">
        <v>46</v>
      </c>
      <c r="B44" s="44" t="s">
        <v>28</v>
      </c>
      <c r="C44" s="41" t="s">
        <v>52</v>
      </c>
      <c r="D44" s="44">
        <f>IF(C44="Элементы распорядка дня соблюдаются",10,IF(C44="Не более пяти нарушений распорядка дня, срывов мероприятий не допущено",5,IF(C44="Более пяти нарушений элементов распорядка дня или мероприятие сорвано",0,)))</f>
        <v>10</v>
      </c>
    </row>
    <row r="45" spans="1:6">
      <c r="A45" s="51"/>
      <c r="B45" s="52"/>
      <c r="C45" s="53"/>
      <c r="D45" s="52"/>
    </row>
    <row r="46" spans="1:6" ht="15.75" thickBot="1">
      <c r="A46" s="40"/>
      <c r="B46" s="45"/>
      <c r="C46" s="43"/>
      <c r="D46" s="45"/>
    </row>
    <row r="47" spans="1:6">
      <c r="A47" s="39" t="s">
        <v>47</v>
      </c>
      <c r="B47" s="44" t="s">
        <v>30</v>
      </c>
      <c r="C47" s="41" t="s">
        <v>31</v>
      </c>
      <c r="D47" s="44">
        <f>IF(C47="Материальные средства подразделения в наличии, исправны, обслужены, хранятся правильно",5,0)</f>
        <v>5</v>
      </c>
    </row>
    <row r="48" spans="1:6" ht="45" customHeight="1" thickBot="1">
      <c r="A48" s="40"/>
      <c r="B48" s="45"/>
      <c r="C48" s="43"/>
      <c r="D48" s="45"/>
    </row>
    <row r="49" spans="1:5">
      <c r="A49" s="39" t="s">
        <v>48</v>
      </c>
      <c r="B49" s="44" t="s">
        <v>33</v>
      </c>
      <c r="C49" s="41" t="s">
        <v>49</v>
      </c>
      <c r="D49" s="44">
        <f>IF(C49="Оценка по физической подготовке (культуре) - 5",2,1)</f>
        <v>2</v>
      </c>
    </row>
    <row r="50" spans="1:5" ht="97.5" customHeight="1" thickBot="1">
      <c r="A50" s="40"/>
      <c r="B50" s="45"/>
      <c r="C50" s="43"/>
      <c r="D50" s="45"/>
    </row>
    <row r="51" spans="1:5" ht="15.75">
      <c r="A51" s="46" t="s">
        <v>34</v>
      </c>
      <c r="B51" s="47"/>
      <c r="C51" s="47"/>
      <c r="D51" s="50">
        <f>SUM(D7:D50)</f>
        <v>80</v>
      </c>
      <c r="E51" s="8"/>
    </row>
    <row r="52" spans="1:5" ht="16.5" thickBot="1">
      <c r="A52" s="48"/>
      <c r="B52" s="49"/>
      <c r="C52" s="49"/>
      <c r="D52" s="42"/>
      <c r="E52" s="8"/>
    </row>
    <row r="54" spans="1:5" ht="20.25">
      <c r="A54" s="37" t="s">
        <v>35</v>
      </c>
      <c r="B54" s="37"/>
      <c r="C54" s="37"/>
      <c r="D54" s="37"/>
      <c r="E54" s="37"/>
    </row>
    <row r="55" spans="1:5" ht="20.25">
      <c r="A55" s="38" t="s">
        <v>36</v>
      </c>
      <c r="B55" s="38"/>
      <c r="C55" s="38"/>
      <c r="D55" s="38"/>
      <c r="E55" s="38"/>
    </row>
    <row r="56" spans="1:5" ht="21">
      <c r="A56" s="9"/>
      <c r="B56" s="9"/>
      <c r="C56" s="5" t="s">
        <v>290</v>
      </c>
      <c r="D56" s="5"/>
      <c r="E56" s="9"/>
    </row>
  </sheetData>
  <mergeCells count="79">
    <mergeCell ref="A1:E1"/>
    <mergeCell ref="A2:E2"/>
    <mergeCell ref="A3:E3"/>
    <mergeCell ref="A4:E4"/>
    <mergeCell ref="B5:B6"/>
    <mergeCell ref="C5:C6"/>
    <mergeCell ref="D5:D6"/>
    <mergeCell ref="A7:A9"/>
    <mergeCell ref="B7:B9"/>
    <mergeCell ref="C7:C9"/>
    <mergeCell ref="D7:D9"/>
    <mergeCell ref="A10:A11"/>
    <mergeCell ref="B10:B11"/>
    <mergeCell ref="C10:C11"/>
    <mergeCell ref="D10:D11"/>
    <mergeCell ref="A12:A14"/>
    <mergeCell ref="B12:B14"/>
    <mergeCell ref="C12:C14"/>
    <mergeCell ref="D12:D14"/>
    <mergeCell ref="A15:A17"/>
    <mergeCell ref="B15:B17"/>
    <mergeCell ref="C15:C17"/>
    <mergeCell ref="D15:D17"/>
    <mergeCell ref="A18:A20"/>
    <mergeCell ref="B18:B20"/>
    <mergeCell ref="C18:C20"/>
    <mergeCell ref="D18:D20"/>
    <mergeCell ref="A21:A23"/>
    <mergeCell ref="B21:B23"/>
    <mergeCell ref="C21:C23"/>
    <mergeCell ref="D21:D23"/>
    <mergeCell ref="A24:A26"/>
    <mergeCell ref="B24:B26"/>
    <mergeCell ref="C24:C26"/>
    <mergeCell ref="D24:D26"/>
    <mergeCell ref="A27:A28"/>
    <mergeCell ref="B27:B28"/>
    <mergeCell ref="C27:C28"/>
    <mergeCell ref="D27:D28"/>
    <mergeCell ref="A29:A31"/>
    <mergeCell ref="B29:B31"/>
    <mergeCell ref="C29:C31"/>
    <mergeCell ref="D29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8"/>
    <mergeCell ref="B36:B38"/>
    <mergeCell ref="C36:C38"/>
    <mergeCell ref="D36:D38"/>
    <mergeCell ref="A39:A41"/>
    <mergeCell ref="B39:B41"/>
    <mergeCell ref="C39:C41"/>
    <mergeCell ref="D39:D41"/>
    <mergeCell ref="A42:A43"/>
    <mergeCell ref="B42:B43"/>
    <mergeCell ref="C42:C43"/>
    <mergeCell ref="D42:D43"/>
    <mergeCell ref="A44:A46"/>
    <mergeCell ref="B44:B46"/>
    <mergeCell ref="C44:C46"/>
    <mergeCell ref="D44:D46"/>
    <mergeCell ref="A47:A48"/>
    <mergeCell ref="B47:B48"/>
    <mergeCell ref="C47:C48"/>
    <mergeCell ref="D47:D48"/>
    <mergeCell ref="A54:E54"/>
    <mergeCell ref="A55:E55"/>
    <mergeCell ref="A49:A50"/>
    <mergeCell ref="B49:B50"/>
    <mergeCell ref="C49:C50"/>
    <mergeCell ref="D49:D50"/>
    <mergeCell ref="A51:C52"/>
    <mergeCell ref="D51:D52"/>
  </mergeCells>
  <dataValidations count="17">
    <dataValidation type="list" allowBlank="1" showInputMessage="1" showErrorMessage="1" sqref="C7:C9">
      <formula1>$G$7:$G$9</formula1>
    </dataValidation>
    <dataValidation type="list" allowBlank="1" showInputMessage="1" showErrorMessage="1" sqref="C10:C11">
      <formula1>"Академические задолжности отсутствуют, Имеются академические задолжности в учебной группе или у КУГ"</formula1>
    </dataValidation>
    <dataValidation type="list" allowBlank="1" showInputMessage="1" showErrorMessage="1" sqref="C12:C14">
      <formula1>"В подразделении и у КУГ отсутствуют текущие задолжности,Имеются менее 20% текущих задолжностей в подразделении или у КУГ,Имеются более 20% текущих задолжностей в подразделении или у КУГ"</formula1>
    </dataValidation>
    <dataValidation type="list" allowBlank="1" showInputMessage="1" showErrorMessage="1" sqref="C15:C17">
      <formula1>$L$15:$L$17</formula1>
    </dataValidation>
    <dataValidation type="list" allowBlank="1" showInputMessage="1" showErrorMessage="1" sqref="C21:C23">
      <formula1>"Замечания в подразделении и у КУГ отсутствуют,В подразделении 2 замечания у КУГ отсутствуют,В подразделении 3 и более замечаний или замечания у КУГ"</formula1>
    </dataValidation>
    <dataValidation type="list" allowBlank="1" showInputMessage="1" showErrorMessage="1" sqref="C24:C26">
      <formula1>"ПРО, ПРЕ, ГДП в подразделении и КУГ отсутствуют, ПРО, ПРЕ отсутствуют, имеются не снятые взыскания за ГДП в подразделении, у КУГ отсутствуют, Совершено ПРО, ПРЕ, ГДП в подразделении или КУГ или допущено сокрытие"</formula1>
    </dataValidation>
    <dataValidation type="list" allowBlank="1" showInputMessage="1" showErrorMessage="1" sqref="C27:C28">
      <formula1>"Дисциплинарная практика к подчиненному личному составу ведется,Дисциплинарная практика к подчиненному личному составу не реализуется или КУГ имеет дисциплинарные взыскания"</formula1>
    </dataValidation>
    <dataValidation type="list" allowBlank="1" showInputMessage="1" showErrorMessage="1" sqref="C29:C31">
      <formula1>"Обстановкой владеет, доклады представляет, книжка сержантов актуальна,Обстановкой владеет, доклады представляет, книжка сержантов не актуальна,Обстановкой не владеет, доклады не представляет, книжка сержантов не актуальна"</formula1>
    </dataValidation>
    <dataValidation type="list" allowBlank="1" showInputMessage="1" showErrorMessage="1" sqref="C32:C33">
      <formula1>"Подведение итогов актуально, поставлены конкретные задачи и проводится в установленное время,Подведение итогов не актуально, не поставлены задачи или не проводится"</formula1>
    </dataValidation>
    <dataValidation type="list" allowBlank="1" showInputMessage="1" showErrorMessage="1" sqref="C34:C35">
      <formula1>"Увольнения распределены равномерно,Увольнения распределяются не равномерно"</formula1>
    </dataValidation>
    <dataValidation type="list" allowBlank="1" showInputMessage="1" showErrorMessage="1" sqref="C36:C38">
      <formula1>"Наряды и уборщики распределены равномерно,Наряды распределены равномерно, уборщики не равномерно,Наряды и уборщики распределены не равномерно"</formula1>
    </dataValidation>
    <dataValidation type="list" allowBlank="1" showInputMessage="1" showErrorMessage="1" sqref="C39:C41">
      <formula1>"Замечания у подчиненного л/с отсутствуют, КУГ оценен не ниже «хорошо»,Выявлено не более 2 замечаний у подчиненного л/с, КУГ оценен не ниже «хорошо»,Л/с отстранен или выявлено более 2 замечаний, КУГ оценен ниже «хорошо»,"</formula1>
    </dataValidation>
    <dataValidation type="list" allowBlank="1" showInputMessage="1" showErrorMessage="1" sqref="C42:C43">
      <formula1>"Нарушений ТБ, приведших к травматизму л/с нет,Есть нарушения ТБ, приведших к травматизму л/с"</formula1>
    </dataValidation>
    <dataValidation type="list" allowBlank="1" showInputMessage="1" showErrorMessage="1" sqref="C44:C46">
      <formula1>"Элементы распорядка дня соблюдаются,Не более пяти нарушений распорядка дня, срывов мероприятий не допущено,Более пяти нарушений элементов распорядка дня или мероприятие сорвано"</formula1>
    </dataValidation>
    <dataValidation type="list" allowBlank="1" showInputMessage="1" showErrorMessage="1" sqref="C47:C48">
      <formula1>"Материальные средства подразделения в наличии, исправны, обслужены, хранятся правильно,Не выполнены предъявляемые критерии "</formula1>
    </dataValidation>
    <dataValidation type="list" allowBlank="1" showInputMessage="1" showErrorMessage="1" sqref="C49:C50">
      <formula1>"Оценка по физической подготовке (культуре) - 5,Оценка по физической подготовке (культуре) - 4"</formula1>
    </dataValidation>
    <dataValidation type="list" allowBlank="1" showInputMessage="1" showErrorMessage="1" sqref="C18:C20">
      <formula1>$L$18:$L$20</formula1>
    </dataValidation>
  </dataValidations>
  <pageMargins left="0.7" right="0.7" top="0.75" bottom="0.75" header="0.3" footer="0.3"/>
  <pageSetup paperSize="9" orientation="portrait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>
  <sheetPr>
    <tabColor rgb="FFFFFF00"/>
  </sheetPr>
  <dimension ref="A1:U46"/>
  <sheetViews>
    <sheetView topLeftCell="A22" zoomScale="70" zoomScaleNormal="70" workbookViewId="0">
      <selection activeCell="C15" sqref="C15:C17"/>
    </sheetView>
  </sheetViews>
  <sheetFormatPr defaultRowHeight="15"/>
  <cols>
    <col min="2" max="2" width="26" customWidth="1"/>
    <col min="3" max="3" width="58.5703125" customWidth="1"/>
    <col min="4" max="4" width="28.42578125" customWidth="1"/>
    <col min="5" max="5" width="24.140625" hidden="1" customWidth="1"/>
    <col min="6" max="6" width="24" hidden="1" customWidth="1"/>
    <col min="7" max="7" width="1.85546875" hidden="1" customWidth="1"/>
    <col min="8" max="8" width="18.42578125" customWidth="1"/>
  </cols>
  <sheetData>
    <row r="1" spans="1:21" ht="20.25">
      <c r="A1" s="56" t="s">
        <v>0</v>
      </c>
      <c r="B1" s="56"/>
      <c r="C1" s="56"/>
      <c r="D1" s="56"/>
      <c r="E1" s="56"/>
    </row>
    <row r="2" spans="1:21" ht="18.75">
      <c r="A2" s="57" t="s">
        <v>1</v>
      </c>
      <c r="B2" s="57"/>
      <c r="C2" s="57"/>
      <c r="D2" s="57"/>
      <c r="E2" s="57"/>
    </row>
    <row r="3" spans="1:21" ht="18.75" customHeight="1">
      <c r="A3" s="58" t="s">
        <v>296</v>
      </c>
      <c r="B3" s="57"/>
      <c r="C3" s="57"/>
      <c r="D3" s="57"/>
      <c r="E3" s="57"/>
    </row>
    <row r="4" spans="1:21" ht="16.5" thickBot="1">
      <c r="A4" s="59"/>
      <c r="B4" s="59"/>
      <c r="C4" s="59"/>
      <c r="D4" s="59"/>
      <c r="E4" s="59"/>
    </row>
    <row r="5" spans="1:21" ht="15.75">
      <c r="A5" s="2" t="s">
        <v>3</v>
      </c>
      <c r="B5" s="60" t="s">
        <v>54</v>
      </c>
      <c r="C5" s="60" t="s">
        <v>55</v>
      </c>
      <c r="D5" s="60" t="s">
        <v>42</v>
      </c>
    </row>
    <row r="6" spans="1:21" ht="16.5" thickBot="1">
      <c r="A6" s="4" t="s">
        <v>4</v>
      </c>
      <c r="B6" s="61"/>
      <c r="C6" s="61"/>
      <c r="D6" s="61"/>
    </row>
    <row r="7" spans="1:21" ht="13.5" customHeight="1">
      <c r="A7" s="39" t="s">
        <v>5</v>
      </c>
      <c r="B7" s="44" t="s">
        <v>6</v>
      </c>
      <c r="C7" s="44" t="s">
        <v>84</v>
      </c>
      <c r="D7" s="44">
        <f>IF(IFERROR(SEARCH("подразделения ≥ 4,5", C7), 0) &gt; 0, 5, IF(IFERROR(SEARCH("подразделения ≥ 4,0", C7), 0) &gt; 0, 3, IF(IFERROR(SEARCH("&lt;", C7), 0) &gt; 0, 0,)))</f>
        <v>0</v>
      </c>
      <c r="F7">
        <v>5</v>
      </c>
      <c r="G7" s="16" t="s">
        <v>82</v>
      </c>
      <c r="N7" s="15"/>
      <c r="U7" s="15"/>
    </row>
    <row r="8" spans="1:21" ht="20.25" customHeight="1">
      <c r="A8" s="51"/>
      <c r="B8" s="54"/>
      <c r="C8" s="52"/>
      <c r="D8" s="52"/>
      <c r="F8">
        <v>3</v>
      </c>
      <c r="G8" s="17" t="s">
        <v>83</v>
      </c>
      <c r="N8" s="13"/>
      <c r="U8" s="13"/>
    </row>
    <row r="9" spans="1:21" ht="18" customHeight="1" thickBot="1">
      <c r="A9" s="40"/>
      <c r="B9" s="55"/>
      <c r="C9" s="45"/>
      <c r="D9" s="45"/>
      <c r="F9">
        <v>0</v>
      </c>
      <c r="G9" s="18" t="s">
        <v>84</v>
      </c>
    </row>
    <row r="10" spans="1:21">
      <c r="A10" s="39" t="s">
        <v>7</v>
      </c>
      <c r="B10" s="44" t="s">
        <v>8</v>
      </c>
      <c r="C10" s="44" t="s">
        <v>86</v>
      </c>
      <c r="D10" s="44">
        <f>IF(IFERROR(SEARCH("отсутствуют", C10), 0) &gt; 0, 10, IF(IFERROR(SEARCH("имеются", C10), 0) &gt; 0, 0, ))</f>
        <v>0</v>
      </c>
      <c r="F10">
        <v>10</v>
      </c>
      <c r="G10" t="s">
        <v>85</v>
      </c>
    </row>
    <row r="11" spans="1:21" ht="24.75" customHeight="1" thickBot="1">
      <c r="A11" s="40"/>
      <c r="B11" s="45"/>
      <c r="C11" s="45"/>
      <c r="D11" s="45"/>
      <c r="F11">
        <v>0</v>
      </c>
      <c r="G11" s="13" t="s">
        <v>86</v>
      </c>
    </row>
    <row r="12" spans="1:21" ht="18" customHeight="1" thickBot="1">
      <c r="A12" s="39" t="s">
        <v>9</v>
      </c>
      <c r="B12" s="44" t="s">
        <v>10</v>
      </c>
      <c r="C12" s="44" t="s">
        <v>87</v>
      </c>
      <c r="D12" s="44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>5</v>
      </c>
      <c r="F12">
        <v>5</v>
      </c>
      <c r="G12" s="14" t="s">
        <v>87</v>
      </c>
    </row>
    <row r="13" spans="1:21" ht="15.75">
      <c r="A13" s="51"/>
      <c r="B13" s="52"/>
      <c r="C13" s="52"/>
      <c r="D13" s="52"/>
      <c r="F13">
        <v>3</v>
      </c>
      <c r="G13" s="13" t="s">
        <v>88</v>
      </c>
    </row>
    <row r="14" spans="1:21" ht="16.5" thickBot="1">
      <c r="A14" s="40"/>
      <c r="B14" s="45"/>
      <c r="C14" s="45"/>
      <c r="D14" s="45"/>
      <c r="F14">
        <v>0</v>
      </c>
      <c r="G14" s="13" t="s">
        <v>89</v>
      </c>
    </row>
    <row r="15" spans="1:21" ht="15.75">
      <c r="A15" s="39" t="s">
        <v>11</v>
      </c>
      <c r="B15" s="44" t="s">
        <v>12</v>
      </c>
      <c r="C15" s="41" t="s">
        <v>90</v>
      </c>
      <c r="D15" s="44">
        <f>IF(IFERROR(SEARCH("Отсутствуют", C15), 0) &gt; 0, 5, IF(IFERROR(SEARCH("Наличие одного", C15), 0) &gt; 0, 3, IF(IFERROR(SEARCH("Наличие двух", C15), 0) &gt; 0, 0,)))</f>
        <v>5</v>
      </c>
      <c r="F15">
        <v>5</v>
      </c>
      <c r="G15" s="19" t="s">
        <v>90</v>
      </c>
    </row>
    <row r="16" spans="1:21" ht="15.75">
      <c r="A16" s="51"/>
      <c r="B16" s="52"/>
      <c r="C16" s="53"/>
      <c r="D16" s="52"/>
      <c r="F16">
        <v>3</v>
      </c>
      <c r="G16" s="13" t="s">
        <v>91</v>
      </c>
    </row>
    <row r="17" spans="1:7" ht="92.25" customHeight="1" thickBot="1">
      <c r="A17" s="40"/>
      <c r="B17" s="45"/>
      <c r="C17" s="43"/>
      <c r="D17" s="45"/>
      <c r="F17">
        <v>0</v>
      </c>
      <c r="G17" s="13" t="s">
        <v>92</v>
      </c>
    </row>
    <row r="18" spans="1:7" ht="15" customHeight="1" thickBot="1">
      <c r="A18" s="39" t="s">
        <v>13</v>
      </c>
      <c r="B18" s="44" t="s">
        <v>14</v>
      </c>
      <c r="C18" s="41" t="s">
        <v>93</v>
      </c>
      <c r="D18" s="44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>10</v>
      </c>
      <c r="F18">
        <v>10</v>
      </c>
      <c r="G18" s="13" t="s">
        <v>93</v>
      </c>
    </row>
    <row r="19" spans="1:7" ht="15" customHeight="1" thickBot="1">
      <c r="A19" s="51"/>
      <c r="B19" s="52"/>
      <c r="C19" s="53"/>
      <c r="D19" s="52"/>
      <c r="F19">
        <v>2</v>
      </c>
      <c r="G19" s="14" t="s">
        <v>94</v>
      </c>
    </row>
    <row r="20" spans="1:7" ht="57" customHeight="1" thickBot="1">
      <c r="A20" s="40"/>
      <c r="B20" s="45"/>
      <c r="C20" s="43"/>
      <c r="D20" s="45"/>
      <c r="F20">
        <v>0</v>
      </c>
      <c r="G20" s="13" t="s">
        <v>95</v>
      </c>
    </row>
    <row r="21" spans="1:7" ht="15.75">
      <c r="A21" s="39" t="s">
        <v>15</v>
      </c>
      <c r="B21" s="44" t="s">
        <v>16</v>
      </c>
      <c r="C21" s="41" t="s">
        <v>96</v>
      </c>
      <c r="D21" s="44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>5</v>
      </c>
      <c r="F21">
        <v>5</v>
      </c>
      <c r="G21" s="13" t="s">
        <v>96</v>
      </c>
    </row>
    <row r="22" spans="1:7" ht="42.75" customHeight="1" thickBot="1">
      <c r="A22" s="40"/>
      <c r="B22" s="45"/>
      <c r="C22" s="43"/>
      <c r="D22" s="45"/>
      <c r="F22">
        <v>0</v>
      </c>
      <c r="G22" s="13" t="s">
        <v>97</v>
      </c>
    </row>
    <row r="23" spans="1:7" ht="15.75">
      <c r="A23" s="39" t="s">
        <v>17</v>
      </c>
      <c r="B23" s="44" t="s">
        <v>18</v>
      </c>
      <c r="C23" s="41" t="s">
        <v>19</v>
      </c>
      <c r="D23" s="44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>10</v>
      </c>
      <c r="F23">
        <v>10</v>
      </c>
      <c r="G23" s="13" t="s">
        <v>19</v>
      </c>
    </row>
    <row r="24" spans="1:7" ht="15.75">
      <c r="A24" s="51"/>
      <c r="B24" s="52"/>
      <c r="C24" s="53"/>
      <c r="D24" s="52"/>
      <c r="F24">
        <v>5</v>
      </c>
      <c r="G24" s="13" t="s">
        <v>98</v>
      </c>
    </row>
    <row r="25" spans="1:7" ht="82.5" customHeight="1" thickBot="1">
      <c r="A25" s="40"/>
      <c r="B25" s="45"/>
      <c r="C25" s="43"/>
      <c r="D25" s="45"/>
      <c r="F25">
        <v>0</v>
      </c>
      <c r="G25" s="13" t="s">
        <v>99</v>
      </c>
    </row>
    <row r="26" spans="1:7" ht="15.75">
      <c r="A26" s="39" t="s">
        <v>20</v>
      </c>
      <c r="B26" s="44" t="s">
        <v>21</v>
      </c>
      <c r="C26" s="41" t="s">
        <v>22</v>
      </c>
      <c r="D26" s="44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>3</v>
      </c>
      <c r="F26">
        <v>3</v>
      </c>
      <c r="G26" s="13" t="s">
        <v>22</v>
      </c>
    </row>
    <row r="27" spans="1:7" ht="41.25" customHeight="1" thickBot="1">
      <c r="A27" s="40"/>
      <c r="B27" s="45"/>
      <c r="C27" s="43"/>
      <c r="D27" s="45"/>
      <c r="F27">
        <v>0</v>
      </c>
      <c r="G27" s="13" t="s">
        <v>100</v>
      </c>
    </row>
    <row r="28" spans="1:7" ht="15.75">
      <c r="A28" s="39" t="s">
        <v>23</v>
      </c>
      <c r="B28" s="44" t="s">
        <v>24</v>
      </c>
      <c r="C28" s="41" t="s">
        <v>101</v>
      </c>
      <c r="D28" s="44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>5</v>
      </c>
      <c r="F28">
        <v>5</v>
      </c>
      <c r="G28" s="13" t="s">
        <v>101</v>
      </c>
    </row>
    <row r="29" spans="1:7" ht="15.75">
      <c r="A29" s="51"/>
      <c r="B29" s="52"/>
      <c r="C29" s="53"/>
      <c r="D29" s="52"/>
      <c r="F29">
        <v>3</v>
      </c>
      <c r="G29" s="13" t="s">
        <v>102</v>
      </c>
    </row>
    <row r="30" spans="1:7" ht="61.5" customHeight="1" thickBot="1">
      <c r="A30" s="40"/>
      <c r="B30" s="45"/>
      <c r="C30" s="43"/>
      <c r="D30" s="45"/>
      <c r="F30">
        <v>0</v>
      </c>
      <c r="G30" s="13" t="s">
        <v>103</v>
      </c>
    </row>
    <row r="31" spans="1:7" ht="15.75">
      <c r="A31" s="39" t="s">
        <v>25</v>
      </c>
      <c r="B31" s="44" t="s">
        <v>26</v>
      </c>
      <c r="C31" s="41" t="s">
        <v>104</v>
      </c>
      <c r="D31" s="44">
        <f>IF(IFERROR(SEARCH("Отсутствуют нарушения ТБ", C31), 0) &gt; 0, 10, IF(IFERROR(SEARCH("Имелись нарушения ТБ", C31), 0) &gt; 0, 0, ))</f>
        <v>10</v>
      </c>
      <c r="F31">
        <v>10</v>
      </c>
      <c r="G31" s="13" t="s">
        <v>104</v>
      </c>
    </row>
    <row r="32" spans="1:7" ht="33.75" customHeight="1" thickBot="1">
      <c r="A32" s="40"/>
      <c r="B32" s="45"/>
      <c r="C32" s="43"/>
      <c r="D32" s="45"/>
      <c r="F32">
        <v>0</v>
      </c>
      <c r="G32" s="13" t="s">
        <v>105</v>
      </c>
    </row>
    <row r="33" spans="1:7" ht="15.75">
      <c r="A33" s="39" t="s">
        <v>27</v>
      </c>
      <c r="B33" s="44" t="s">
        <v>28</v>
      </c>
      <c r="C33" s="41" t="s">
        <v>52</v>
      </c>
      <c r="D33" s="44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>10</v>
      </c>
      <c r="F33">
        <v>10</v>
      </c>
      <c r="G33" s="13" t="s">
        <v>52</v>
      </c>
    </row>
    <row r="34" spans="1:7" ht="15.75">
      <c r="A34" s="51"/>
      <c r="B34" s="52"/>
      <c r="C34" s="53"/>
      <c r="D34" s="52"/>
      <c r="F34">
        <v>5</v>
      </c>
      <c r="G34" s="13" t="s">
        <v>106</v>
      </c>
    </row>
    <row r="35" spans="1:7" ht="18" customHeight="1" thickBot="1">
      <c r="A35" s="40"/>
      <c r="B35" s="45"/>
      <c r="C35" s="43"/>
      <c r="D35" s="45"/>
      <c r="F35">
        <v>0</v>
      </c>
      <c r="G35" s="13" t="s">
        <v>107</v>
      </c>
    </row>
    <row r="36" spans="1:7" ht="15.75">
      <c r="A36" s="39" t="s">
        <v>29</v>
      </c>
      <c r="B36" s="44" t="s">
        <v>30</v>
      </c>
      <c r="C36" s="41" t="s">
        <v>31</v>
      </c>
      <c r="D36" s="44">
        <f>IF(IFERROR(SEARCH("Материальные средства ", C36), 0) &gt; 0, 5, IF(IFERROR(SEARCH("Не выполнены ", C36), 0) &gt; 0, 0, ))</f>
        <v>5</v>
      </c>
      <c r="F36">
        <v>5</v>
      </c>
      <c r="G36" s="13" t="s">
        <v>31</v>
      </c>
    </row>
    <row r="37" spans="1:7" ht="45" customHeight="1" thickBot="1">
      <c r="A37" s="40"/>
      <c r="B37" s="45"/>
      <c r="C37" s="43"/>
      <c r="D37" s="45"/>
      <c r="F37">
        <v>0</v>
      </c>
      <c r="G37" s="13" t="s">
        <v>110</v>
      </c>
    </row>
    <row r="38" spans="1:7" ht="15.75">
      <c r="A38" s="39" t="s">
        <v>32</v>
      </c>
      <c r="B38" s="44" t="s">
        <v>33</v>
      </c>
      <c r="C38" s="41" t="s">
        <v>108</v>
      </c>
      <c r="D38" s="44">
        <f>IF(IFERROR(SEARCH("5", C38), 0) &gt; 0, 2, IF(IFERROR(SEARCH("4", C38), 0) &gt; 0, 1, ))</f>
        <v>2</v>
      </c>
      <c r="F38">
        <v>2</v>
      </c>
      <c r="G38" s="13" t="s">
        <v>108</v>
      </c>
    </row>
    <row r="39" spans="1:7" ht="103.5" customHeight="1" thickBot="1">
      <c r="A39" s="40"/>
      <c r="B39" s="45"/>
      <c r="C39" s="43"/>
      <c r="D39" s="45"/>
      <c r="F39">
        <v>1</v>
      </c>
      <c r="G39" s="13" t="s">
        <v>109</v>
      </c>
    </row>
    <row r="40" spans="1:7">
      <c r="A40" s="46" t="s">
        <v>34</v>
      </c>
      <c r="B40" s="47"/>
      <c r="C40" s="66"/>
      <c r="D40" s="68">
        <f>SUM(D7:D39)</f>
        <v>70</v>
      </c>
      <c r="E40" s="65"/>
    </row>
    <row r="41" spans="1:7" ht="15.75" thickBot="1">
      <c r="A41" s="48"/>
      <c r="B41" s="49"/>
      <c r="C41" s="67"/>
      <c r="D41" s="69"/>
      <c r="E41" s="65"/>
    </row>
    <row r="43" spans="1:7" ht="20.25">
      <c r="A43" s="37" t="s">
        <v>35</v>
      </c>
      <c r="B43" s="37"/>
      <c r="C43" s="37"/>
      <c r="D43" s="5"/>
      <c r="E43" s="5"/>
    </row>
    <row r="44" spans="1:7" ht="20.25">
      <c r="A44" s="37"/>
      <c r="B44" s="37"/>
      <c r="C44" s="37"/>
      <c r="D44" s="6"/>
      <c r="E44" s="6"/>
    </row>
    <row r="45" spans="1:7" ht="20.25">
      <c r="A45" s="5"/>
      <c r="B45" s="5"/>
      <c r="C45" s="5" t="s">
        <v>36</v>
      </c>
      <c r="D45" s="5"/>
      <c r="E45" s="5"/>
    </row>
    <row r="46" spans="1:7" ht="20.25">
      <c r="A46" s="5"/>
      <c r="B46" s="5"/>
      <c r="C46" s="5" t="s">
        <v>289</v>
      </c>
    </row>
  </sheetData>
  <mergeCells count="63">
    <mergeCell ref="A1:E1"/>
    <mergeCell ref="A2:E2"/>
    <mergeCell ref="A3:E3"/>
    <mergeCell ref="A4:E4"/>
    <mergeCell ref="B5:B6"/>
    <mergeCell ref="C5:C6"/>
    <mergeCell ref="D5:D6"/>
    <mergeCell ref="A7:A9"/>
    <mergeCell ref="B7:B9"/>
    <mergeCell ref="C7:C9"/>
    <mergeCell ref="D7:D9"/>
    <mergeCell ref="A10:A11"/>
    <mergeCell ref="B10:B11"/>
    <mergeCell ref="C10:C11"/>
    <mergeCell ref="D10:D11"/>
    <mergeCell ref="A12:A14"/>
    <mergeCell ref="B12:B14"/>
    <mergeCell ref="C12:C14"/>
    <mergeCell ref="D12:D14"/>
    <mergeCell ref="A15:A17"/>
    <mergeCell ref="B15:B17"/>
    <mergeCell ref="C15:C17"/>
    <mergeCell ref="D15:D17"/>
    <mergeCell ref="A18:A20"/>
    <mergeCell ref="B18:B20"/>
    <mergeCell ref="C18:C20"/>
    <mergeCell ref="D18:D20"/>
    <mergeCell ref="A21:A22"/>
    <mergeCell ref="B21:B22"/>
    <mergeCell ref="C21:C22"/>
    <mergeCell ref="D21:D22"/>
    <mergeCell ref="A23:A25"/>
    <mergeCell ref="B23:B25"/>
    <mergeCell ref="C23:C25"/>
    <mergeCell ref="D23:D25"/>
    <mergeCell ref="A26:A27"/>
    <mergeCell ref="B26:B27"/>
    <mergeCell ref="C26:C27"/>
    <mergeCell ref="D26:D27"/>
    <mergeCell ref="A28:A30"/>
    <mergeCell ref="B28:B30"/>
    <mergeCell ref="C28:C30"/>
    <mergeCell ref="D28:D30"/>
    <mergeCell ref="A31:A32"/>
    <mergeCell ref="B31:B32"/>
    <mergeCell ref="C31:C32"/>
    <mergeCell ref="D31:D32"/>
    <mergeCell ref="A33:A35"/>
    <mergeCell ref="B33:B35"/>
    <mergeCell ref="C33:C35"/>
    <mergeCell ref="D33:D35"/>
    <mergeCell ref="A36:A37"/>
    <mergeCell ref="B36:B37"/>
    <mergeCell ref="C36:C37"/>
    <mergeCell ref="D36:D37"/>
    <mergeCell ref="E40:E41"/>
    <mergeCell ref="A43:C44"/>
    <mergeCell ref="A38:A39"/>
    <mergeCell ref="B38:B39"/>
    <mergeCell ref="C38:C39"/>
    <mergeCell ref="D38:D39"/>
    <mergeCell ref="A40:C41"/>
    <mergeCell ref="D40:D41"/>
  </mergeCells>
  <dataValidations count="13">
    <dataValidation type="list" allowBlank="1" showInputMessage="1" showErrorMessage="1" sqref="C7:C9">
      <formula1>$G$7:$G$9</formula1>
    </dataValidation>
    <dataValidation type="list" allowBlank="1" showInputMessage="1" showErrorMessage="1" sqref="C10:C11">
      <formula1>$G$10:$G$11</formula1>
    </dataValidation>
    <dataValidation type="list" allowBlank="1" showInputMessage="1" showErrorMessage="1" sqref="C12:C14">
      <formula1>$G$12:$G$14</formula1>
    </dataValidation>
    <dataValidation type="list" allowBlank="1" showInputMessage="1" showErrorMessage="1" sqref="C15:C17">
      <formula1>$G$15:$G$17</formula1>
    </dataValidation>
    <dataValidation type="list" allowBlank="1" showInputMessage="1" showErrorMessage="1" sqref="C18:C20">
      <formula1>$G$18:$G$20</formula1>
    </dataValidation>
    <dataValidation type="list" allowBlank="1" showInputMessage="1" showErrorMessage="1" sqref="C21:C22">
      <formula1>$G$21:$G$22</formula1>
    </dataValidation>
    <dataValidation type="list" allowBlank="1" showInputMessage="1" showErrorMessage="1" sqref="C23:C25">
      <formula1>$G$23:$G$25</formula1>
    </dataValidation>
    <dataValidation type="list" allowBlank="1" showInputMessage="1" showErrorMessage="1" sqref="C26:C27">
      <formula1>$G$26:$G$27</formula1>
    </dataValidation>
    <dataValidation type="list" allowBlank="1" showInputMessage="1" showErrorMessage="1" sqref="C28:C30">
      <formula1>$G$28:$G$30</formula1>
    </dataValidation>
    <dataValidation type="list" allowBlank="1" showInputMessage="1" showErrorMessage="1" sqref="C31:C32">
      <formula1>$G$31:$G$32</formula1>
    </dataValidation>
    <dataValidation type="list" allowBlank="1" showInputMessage="1" showErrorMessage="1" sqref="C33:C35">
      <formula1>$G$33:$G$35</formula1>
    </dataValidation>
    <dataValidation type="list" allowBlank="1" showInputMessage="1" showErrorMessage="1" sqref="C36:C37">
      <formula1>$G$36:$G$37</formula1>
    </dataValidation>
    <dataValidation type="list" allowBlank="1" showInputMessage="1" showErrorMessage="1" sqref="C38:C39">
      <formula1>$G$38:$G$39</formula1>
    </dataValidation>
  </dataValidation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sheetPr>
    <tabColor rgb="FFFFFF00"/>
  </sheetPr>
  <dimension ref="A1:U46"/>
  <sheetViews>
    <sheetView topLeftCell="A22" zoomScale="85" zoomScaleNormal="85" workbookViewId="0">
      <selection activeCell="C28" sqref="C28:C30"/>
    </sheetView>
  </sheetViews>
  <sheetFormatPr defaultRowHeight="15"/>
  <cols>
    <col min="2" max="2" width="26" customWidth="1"/>
    <col min="3" max="3" width="58.5703125" customWidth="1"/>
    <col min="4" max="4" width="28.42578125" customWidth="1"/>
    <col min="5" max="5" width="24.140625" hidden="1" customWidth="1"/>
    <col min="6" max="6" width="24" hidden="1" customWidth="1"/>
    <col min="7" max="7" width="1.85546875" hidden="1" customWidth="1"/>
    <col min="8" max="8" width="18.42578125" customWidth="1"/>
  </cols>
  <sheetData>
    <row r="1" spans="1:21" ht="20.25">
      <c r="A1" s="56" t="s">
        <v>0</v>
      </c>
      <c r="B1" s="56"/>
      <c r="C1" s="56"/>
      <c r="D1" s="56"/>
      <c r="E1" s="56"/>
    </row>
    <row r="2" spans="1:21" ht="18.75">
      <c r="A2" s="57" t="s">
        <v>1</v>
      </c>
      <c r="B2" s="57"/>
      <c r="C2" s="57"/>
      <c r="D2" s="57"/>
      <c r="E2" s="57"/>
    </row>
    <row r="3" spans="1:21" ht="18.75" customHeight="1">
      <c r="A3" s="58" t="s">
        <v>295</v>
      </c>
      <c r="B3" s="57"/>
      <c r="C3" s="57"/>
      <c r="D3" s="57"/>
      <c r="E3" s="57"/>
    </row>
    <row r="4" spans="1:21" ht="16.5" thickBot="1">
      <c r="A4" s="59"/>
      <c r="B4" s="59"/>
      <c r="C4" s="59"/>
      <c r="D4" s="59"/>
      <c r="E4" s="59"/>
    </row>
    <row r="5" spans="1:21" ht="15.75">
      <c r="A5" s="2" t="s">
        <v>3</v>
      </c>
      <c r="B5" s="60" t="s">
        <v>54</v>
      </c>
      <c r="C5" s="60" t="s">
        <v>55</v>
      </c>
      <c r="D5" s="60" t="s">
        <v>42</v>
      </c>
    </row>
    <row r="6" spans="1:21" ht="16.5" thickBot="1">
      <c r="A6" s="4" t="s">
        <v>4</v>
      </c>
      <c r="B6" s="61"/>
      <c r="C6" s="61"/>
      <c r="D6" s="61"/>
    </row>
    <row r="7" spans="1:21" ht="13.5" customHeight="1">
      <c r="A7" s="39" t="s">
        <v>5</v>
      </c>
      <c r="B7" s="44" t="s">
        <v>6</v>
      </c>
      <c r="C7" s="44" t="s">
        <v>84</v>
      </c>
      <c r="D7" s="44">
        <f>IF(IFERROR(SEARCH("подразделения ≥ 4,5", C7), 0) &gt; 0, 5, IF(IFERROR(SEARCH("подразделения ≥ 4,0", C7), 0) &gt; 0, 3, IF(IFERROR(SEARCH("&lt;", C7), 0) &gt; 0, 0,)))</f>
        <v>0</v>
      </c>
      <c r="F7">
        <v>5</v>
      </c>
      <c r="G7" s="16" t="s">
        <v>82</v>
      </c>
      <c r="N7" s="15"/>
      <c r="U7" s="15"/>
    </row>
    <row r="8" spans="1:21" ht="20.25" customHeight="1">
      <c r="A8" s="51"/>
      <c r="B8" s="54"/>
      <c r="C8" s="52"/>
      <c r="D8" s="52"/>
      <c r="F8">
        <v>3</v>
      </c>
      <c r="G8" s="17" t="s">
        <v>83</v>
      </c>
      <c r="N8" s="13"/>
      <c r="U8" s="13"/>
    </row>
    <row r="9" spans="1:21" ht="18" customHeight="1" thickBot="1">
      <c r="A9" s="40"/>
      <c r="B9" s="55"/>
      <c r="C9" s="45"/>
      <c r="D9" s="45"/>
      <c r="F9">
        <v>0</v>
      </c>
      <c r="G9" s="18" t="s">
        <v>84</v>
      </c>
    </row>
    <row r="10" spans="1:21">
      <c r="A10" s="39" t="s">
        <v>7</v>
      </c>
      <c r="B10" s="44" t="s">
        <v>8</v>
      </c>
      <c r="C10" s="44" t="s">
        <v>86</v>
      </c>
      <c r="D10" s="44">
        <f>IF(IFERROR(SEARCH("отсутствуют", C10), 0) &gt; 0, 10, IF(IFERROR(SEARCH("имеются", C10), 0) &gt; 0, 0, ))</f>
        <v>0</v>
      </c>
      <c r="F10">
        <v>10</v>
      </c>
      <c r="G10" t="s">
        <v>85</v>
      </c>
    </row>
    <row r="11" spans="1:21" ht="24.75" customHeight="1" thickBot="1">
      <c r="A11" s="40"/>
      <c r="B11" s="45"/>
      <c r="C11" s="45"/>
      <c r="D11" s="45"/>
      <c r="F11">
        <v>0</v>
      </c>
      <c r="G11" s="13" t="s">
        <v>86</v>
      </c>
    </row>
    <row r="12" spans="1:21" ht="18" customHeight="1" thickBot="1">
      <c r="A12" s="39" t="s">
        <v>9</v>
      </c>
      <c r="B12" s="44" t="s">
        <v>10</v>
      </c>
      <c r="C12" s="44" t="s">
        <v>87</v>
      </c>
      <c r="D12" s="44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>5</v>
      </c>
      <c r="F12">
        <v>5</v>
      </c>
      <c r="G12" s="14" t="s">
        <v>87</v>
      </c>
    </row>
    <row r="13" spans="1:21" ht="15.75">
      <c r="A13" s="51"/>
      <c r="B13" s="52"/>
      <c r="C13" s="52"/>
      <c r="D13" s="52"/>
      <c r="F13">
        <v>3</v>
      </c>
      <c r="G13" s="13" t="s">
        <v>88</v>
      </c>
    </row>
    <row r="14" spans="1:21" ht="16.5" thickBot="1">
      <c r="A14" s="40"/>
      <c r="B14" s="45"/>
      <c r="C14" s="45"/>
      <c r="D14" s="45"/>
      <c r="F14">
        <v>0</v>
      </c>
      <c r="G14" s="13" t="s">
        <v>89</v>
      </c>
    </row>
    <row r="15" spans="1:21" ht="15.75">
      <c r="A15" s="39" t="s">
        <v>11</v>
      </c>
      <c r="B15" s="44" t="s">
        <v>12</v>
      </c>
      <c r="C15" s="41" t="s">
        <v>90</v>
      </c>
      <c r="D15" s="44">
        <f>IF(IFERROR(SEARCH("Отсутствуют", C15), 0) &gt; 0, 5, IF(IFERROR(SEARCH("Наличие одного", C15), 0) &gt; 0, 3, IF(IFERROR(SEARCH("Наличие двух", C15), 0) &gt; 0, 0,)))</f>
        <v>5</v>
      </c>
      <c r="F15">
        <v>5</v>
      </c>
      <c r="G15" s="19" t="s">
        <v>90</v>
      </c>
    </row>
    <row r="16" spans="1:21" ht="15.75">
      <c r="A16" s="51"/>
      <c r="B16" s="52"/>
      <c r="C16" s="53"/>
      <c r="D16" s="52"/>
      <c r="F16">
        <v>3</v>
      </c>
      <c r="G16" s="13" t="s">
        <v>91</v>
      </c>
    </row>
    <row r="17" spans="1:7" ht="92.25" customHeight="1" thickBot="1">
      <c r="A17" s="40"/>
      <c r="B17" s="45"/>
      <c r="C17" s="43"/>
      <c r="D17" s="45"/>
      <c r="F17">
        <v>0</v>
      </c>
      <c r="G17" s="13" t="s">
        <v>92</v>
      </c>
    </row>
    <row r="18" spans="1:7" ht="15" customHeight="1" thickBot="1">
      <c r="A18" s="39" t="s">
        <v>13</v>
      </c>
      <c r="B18" s="44" t="s">
        <v>14</v>
      </c>
      <c r="C18" s="41" t="s">
        <v>93</v>
      </c>
      <c r="D18" s="44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>10</v>
      </c>
      <c r="F18">
        <v>10</v>
      </c>
      <c r="G18" s="13" t="s">
        <v>93</v>
      </c>
    </row>
    <row r="19" spans="1:7" ht="15" customHeight="1" thickBot="1">
      <c r="A19" s="51"/>
      <c r="B19" s="52"/>
      <c r="C19" s="53"/>
      <c r="D19" s="52"/>
      <c r="F19">
        <v>2</v>
      </c>
      <c r="G19" s="14" t="s">
        <v>94</v>
      </c>
    </row>
    <row r="20" spans="1:7" ht="57" customHeight="1" thickBot="1">
      <c r="A20" s="40"/>
      <c r="B20" s="45"/>
      <c r="C20" s="43"/>
      <c r="D20" s="45"/>
      <c r="F20">
        <v>0</v>
      </c>
      <c r="G20" s="13" t="s">
        <v>95</v>
      </c>
    </row>
    <row r="21" spans="1:7" ht="15.75">
      <c r="A21" s="39" t="s">
        <v>15</v>
      </c>
      <c r="B21" s="44" t="s">
        <v>16</v>
      </c>
      <c r="C21" s="41" t="s">
        <v>96</v>
      </c>
      <c r="D21" s="44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>5</v>
      </c>
      <c r="F21">
        <v>5</v>
      </c>
      <c r="G21" s="13" t="s">
        <v>96</v>
      </c>
    </row>
    <row r="22" spans="1:7" ht="42.75" customHeight="1" thickBot="1">
      <c r="A22" s="40"/>
      <c r="B22" s="45"/>
      <c r="C22" s="43"/>
      <c r="D22" s="45"/>
      <c r="F22">
        <v>0</v>
      </c>
      <c r="G22" s="13" t="s">
        <v>97</v>
      </c>
    </row>
    <row r="23" spans="1:7" ht="15.75">
      <c r="A23" s="39" t="s">
        <v>17</v>
      </c>
      <c r="B23" s="44" t="s">
        <v>18</v>
      </c>
      <c r="C23" s="41" t="s">
        <v>19</v>
      </c>
      <c r="D23" s="44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>10</v>
      </c>
      <c r="F23">
        <v>10</v>
      </c>
      <c r="G23" s="13" t="s">
        <v>19</v>
      </c>
    </row>
    <row r="24" spans="1:7" ht="15.75">
      <c r="A24" s="51"/>
      <c r="B24" s="52"/>
      <c r="C24" s="53"/>
      <c r="D24" s="52"/>
      <c r="F24">
        <v>5</v>
      </c>
      <c r="G24" s="13" t="s">
        <v>98</v>
      </c>
    </row>
    <row r="25" spans="1:7" ht="82.5" customHeight="1" thickBot="1">
      <c r="A25" s="40"/>
      <c r="B25" s="45"/>
      <c r="C25" s="43"/>
      <c r="D25" s="45"/>
      <c r="F25">
        <v>0</v>
      </c>
      <c r="G25" s="13" t="s">
        <v>99</v>
      </c>
    </row>
    <row r="26" spans="1:7" ht="15.75">
      <c r="A26" s="39" t="s">
        <v>20</v>
      </c>
      <c r="B26" s="44" t="s">
        <v>21</v>
      </c>
      <c r="C26" s="41" t="s">
        <v>22</v>
      </c>
      <c r="D26" s="44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>3</v>
      </c>
      <c r="F26">
        <v>3</v>
      </c>
      <c r="G26" s="13" t="s">
        <v>22</v>
      </c>
    </row>
    <row r="27" spans="1:7" ht="41.25" customHeight="1" thickBot="1">
      <c r="A27" s="40"/>
      <c r="B27" s="45"/>
      <c r="C27" s="43"/>
      <c r="D27" s="45"/>
      <c r="F27">
        <v>0</v>
      </c>
      <c r="G27" s="13" t="s">
        <v>100</v>
      </c>
    </row>
    <row r="28" spans="1:7" ht="15.75">
      <c r="A28" s="39" t="s">
        <v>23</v>
      </c>
      <c r="B28" s="44" t="s">
        <v>24</v>
      </c>
      <c r="C28" s="41" t="s">
        <v>101</v>
      </c>
      <c r="D28" s="44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>5</v>
      </c>
      <c r="F28">
        <v>5</v>
      </c>
      <c r="G28" s="13" t="s">
        <v>101</v>
      </c>
    </row>
    <row r="29" spans="1:7" ht="15.75">
      <c r="A29" s="51"/>
      <c r="B29" s="52"/>
      <c r="C29" s="53"/>
      <c r="D29" s="52"/>
      <c r="F29">
        <v>3</v>
      </c>
      <c r="G29" s="13" t="s">
        <v>102</v>
      </c>
    </row>
    <row r="30" spans="1:7" ht="61.5" customHeight="1" thickBot="1">
      <c r="A30" s="40"/>
      <c r="B30" s="45"/>
      <c r="C30" s="43"/>
      <c r="D30" s="45"/>
      <c r="F30">
        <v>0</v>
      </c>
      <c r="G30" s="13" t="s">
        <v>103</v>
      </c>
    </row>
    <row r="31" spans="1:7" ht="15.75">
      <c r="A31" s="39" t="s">
        <v>25</v>
      </c>
      <c r="B31" s="44" t="s">
        <v>26</v>
      </c>
      <c r="C31" s="41" t="s">
        <v>104</v>
      </c>
      <c r="D31" s="44">
        <f>IF(IFERROR(SEARCH("Отсутствуют нарушения ТБ", C31), 0) &gt; 0, 10, IF(IFERROR(SEARCH("Имелись нарушения ТБ", C31), 0) &gt; 0, 0, ))</f>
        <v>10</v>
      </c>
      <c r="F31">
        <v>10</v>
      </c>
      <c r="G31" s="13" t="s">
        <v>104</v>
      </c>
    </row>
    <row r="32" spans="1:7" ht="33.75" customHeight="1" thickBot="1">
      <c r="A32" s="40"/>
      <c r="B32" s="45"/>
      <c r="C32" s="43"/>
      <c r="D32" s="45"/>
      <c r="F32">
        <v>0</v>
      </c>
      <c r="G32" s="13" t="s">
        <v>105</v>
      </c>
    </row>
    <row r="33" spans="1:7" ht="15.75">
      <c r="A33" s="39" t="s">
        <v>27</v>
      </c>
      <c r="B33" s="44" t="s">
        <v>28</v>
      </c>
      <c r="C33" s="41" t="s">
        <v>52</v>
      </c>
      <c r="D33" s="44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>10</v>
      </c>
      <c r="F33">
        <v>10</v>
      </c>
      <c r="G33" s="13" t="s">
        <v>52</v>
      </c>
    </row>
    <row r="34" spans="1:7" ht="15.75">
      <c r="A34" s="51"/>
      <c r="B34" s="52"/>
      <c r="C34" s="53"/>
      <c r="D34" s="52"/>
      <c r="F34">
        <v>5</v>
      </c>
      <c r="G34" s="13" t="s">
        <v>106</v>
      </c>
    </row>
    <row r="35" spans="1:7" ht="18" customHeight="1" thickBot="1">
      <c r="A35" s="40"/>
      <c r="B35" s="45"/>
      <c r="C35" s="43"/>
      <c r="D35" s="45"/>
      <c r="F35">
        <v>0</v>
      </c>
      <c r="G35" s="13" t="s">
        <v>107</v>
      </c>
    </row>
    <row r="36" spans="1:7" ht="15.75">
      <c r="A36" s="39" t="s">
        <v>29</v>
      </c>
      <c r="B36" s="44" t="s">
        <v>30</v>
      </c>
      <c r="C36" s="41" t="s">
        <v>31</v>
      </c>
      <c r="D36" s="44">
        <f>IF(IFERROR(SEARCH("Материальные средства ", C36), 0) &gt; 0, 5, IF(IFERROR(SEARCH("Не выполнены ", C36), 0) &gt; 0, 0, ))</f>
        <v>5</v>
      </c>
      <c r="F36">
        <v>5</v>
      </c>
      <c r="G36" s="13" t="s">
        <v>31</v>
      </c>
    </row>
    <row r="37" spans="1:7" ht="45" customHeight="1" thickBot="1">
      <c r="A37" s="40"/>
      <c r="B37" s="45"/>
      <c r="C37" s="43"/>
      <c r="D37" s="45"/>
      <c r="F37">
        <v>0</v>
      </c>
      <c r="G37" s="13" t="s">
        <v>110</v>
      </c>
    </row>
    <row r="38" spans="1:7" ht="15.75">
      <c r="A38" s="39" t="s">
        <v>32</v>
      </c>
      <c r="B38" s="44" t="s">
        <v>33</v>
      </c>
      <c r="C38" s="41" t="s">
        <v>108</v>
      </c>
      <c r="D38" s="44">
        <f>IF(IFERROR(SEARCH("5", C38), 0) &gt; 0, 2, IF(IFERROR(SEARCH("4", C38), 0) &gt; 0, 1, ))</f>
        <v>2</v>
      </c>
      <c r="F38">
        <v>2</v>
      </c>
      <c r="G38" s="13" t="s">
        <v>108</v>
      </c>
    </row>
    <row r="39" spans="1:7" ht="103.5" customHeight="1" thickBot="1">
      <c r="A39" s="40"/>
      <c r="B39" s="45"/>
      <c r="C39" s="43"/>
      <c r="D39" s="45"/>
      <c r="F39">
        <v>1</v>
      </c>
      <c r="G39" s="13" t="s">
        <v>109</v>
      </c>
    </row>
    <row r="40" spans="1:7">
      <c r="A40" s="46" t="s">
        <v>34</v>
      </c>
      <c r="B40" s="47"/>
      <c r="C40" s="66"/>
      <c r="D40" s="68">
        <f>SUM(D7:D39)</f>
        <v>70</v>
      </c>
      <c r="E40" s="65"/>
    </row>
    <row r="41" spans="1:7" ht="15.75" thickBot="1">
      <c r="A41" s="48"/>
      <c r="B41" s="49"/>
      <c r="C41" s="67"/>
      <c r="D41" s="69"/>
      <c r="E41" s="65"/>
    </row>
    <row r="43" spans="1:7" ht="20.25">
      <c r="A43" s="37" t="s">
        <v>35</v>
      </c>
      <c r="B43" s="37"/>
      <c r="C43" s="37"/>
      <c r="D43" s="5"/>
      <c r="E43" s="5"/>
    </row>
    <row r="44" spans="1:7" ht="20.25">
      <c r="A44" s="37"/>
      <c r="B44" s="37"/>
      <c r="C44" s="37"/>
      <c r="D44" s="6"/>
      <c r="E44" s="6"/>
    </row>
    <row r="45" spans="1:7" ht="20.25">
      <c r="A45" s="5"/>
      <c r="B45" s="5"/>
      <c r="C45" s="5" t="s">
        <v>36</v>
      </c>
      <c r="D45" s="5"/>
      <c r="E45" s="5"/>
    </row>
    <row r="46" spans="1:7" ht="20.25">
      <c r="A46" s="5"/>
      <c r="B46" s="5"/>
      <c r="C46" s="5" t="s">
        <v>289</v>
      </c>
    </row>
  </sheetData>
  <mergeCells count="63">
    <mergeCell ref="A1:E1"/>
    <mergeCell ref="A2:E2"/>
    <mergeCell ref="A3:E3"/>
    <mergeCell ref="A4:E4"/>
    <mergeCell ref="B5:B6"/>
    <mergeCell ref="C5:C6"/>
    <mergeCell ref="D5:D6"/>
    <mergeCell ref="A7:A9"/>
    <mergeCell ref="B7:B9"/>
    <mergeCell ref="C7:C9"/>
    <mergeCell ref="D7:D9"/>
    <mergeCell ref="A10:A11"/>
    <mergeCell ref="B10:B11"/>
    <mergeCell ref="C10:C11"/>
    <mergeCell ref="D10:D11"/>
    <mergeCell ref="A12:A14"/>
    <mergeCell ref="B12:B14"/>
    <mergeCell ref="C12:C14"/>
    <mergeCell ref="D12:D14"/>
    <mergeCell ref="A15:A17"/>
    <mergeCell ref="B15:B17"/>
    <mergeCell ref="C15:C17"/>
    <mergeCell ref="D15:D17"/>
    <mergeCell ref="A18:A20"/>
    <mergeCell ref="B18:B20"/>
    <mergeCell ref="C18:C20"/>
    <mergeCell ref="D18:D20"/>
    <mergeCell ref="A21:A22"/>
    <mergeCell ref="B21:B22"/>
    <mergeCell ref="C21:C22"/>
    <mergeCell ref="D21:D22"/>
    <mergeCell ref="A23:A25"/>
    <mergeCell ref="B23:B25"/>
    <mergeCell ref="C23:C25"/>
    <mergeCell ref="D23:D25"/>
    <mergeCell ref="A26:A27"/>
    <mergeCell ref="B26:B27"/>
    <mergeCell ref="C26:C27"/>
    <mergeCell ref="D26:D27"/>
    <mergeCell ref="A28:A30"/>
    <mergeCell ref="B28:B30"/>
    <mergeCell ref="C28:C30"/>
    <mergeCell ref="D28:D30"/>
    <mergeCell ref="A31:A32"/>
    <mergeCell ref="B31:B32"/>
    <mergeCell ref="C31:C32"/>
    <mergeCell ref="D31:D32"/>
    <mergeCell ref="A33:A35"/>
    <mergeCell ref="B33:B35"/>
    <mergeCell ref="C33:C35"/>
    <mergeCell ref="D33:D35"/>
    <mergeCell ref="A36:A37"/>
    <mergeCell ref="B36:B37"/>
    <mergeCell ref="C36:C37"/>
    <mergeCell ref="D36:D37"/>
    <mergeCell ref="E40:E41"/>
    <mergeCell ref="A43:C44"/>
    <mergeCell ref="A38:A39"/>
    <mergeCell ref="B38:B39"/>
    <mergeCell ref="C38:C39"/>
    <mergeCell ref="D38:D39"/>
    <mergeCell ref="A40:C41"/>
    <mergeCell ref="D40:D41"/>
  </mergeCells>
  <dataValidations count="13">
    <dataValidation type="list" allowBlank="1" showInputMessage="1" showErrorMessage="1" sqref="C38:C39">
      <formula1>$G$38:$G$39</formula1>
    </dataValidation>
    <dataValidation type="list" allowBlank="1" showInputMessage="1" showErrorMessage="1" sqref="C36:C37">
      <formula1>$G$36:$G$37</formula1>
    </dataValidation>
    <dataValidation type="list" allowBlank="1" showInputMessage="1" showErrorMessage="1" sqref="C33:C35">
      <formula1>$G$33:$G$35</formula1>
    </dataValidation>
    <dataValidation type="list" allowBlank="1" showInputMessage="1" showErrorMessage="1" sqref="C31:C32">
      <formula1>$G$31:$G$32</formula1>
    </dataValidation>
    <dataValidation type="list" allowBlank="1" showInputMessage="1" showErrorMessage="1" sqref="C28:C30">
      <formula1>$G$28:$G$30</formula1>
    </dataValidation>
    <dataValidation type="list" allowBlank="1" showInputMessage="1" showErrorMessage="1" sqref="C26:C27">
      <formula1>$G$26:$G$27</formula1>
    </dataValidation>
    <dataValidation type="list" allowBlank="1" showInputMessage="1" showErrorMessage="1" sqref="C23:C25">
      <formula1>$G$23:$G$25</formula1>
    </dataValidation>
    <dataValidation type="list" allowBlank="1" showInputMessage="1" showErrorMessage="1" sqref="C21:C22">
      <formula1>$G$21:$G$22</formula1>
    </dataValidation>
    <dataValidation type="list" allowBlank="1" showInputMessage="1" showErrorMessage="1" sqref="C18:C20">
      <formula1>$G$18:$G$20</formula1>
    </dataValidation>
    <dataValidation type="list" allowBlank="1" showInputMessage="1" showErrorMessage="1" sqref="C15:C17">
      <formula1>$G$15:$G$17</formula1>
    </dataValidation>
    <dataValidation type="list" allowBlank="1" showInputMessage="1" showErrorMessage="1" sqref="C12:C14">
      <formula1>$G$12:$G$14</formula1>
    </dataValidation>
    <dataValidation type="list" allowBlank="1" showInputMessage="1" showErrorMessage="1" sqref="C10:C11">
      <formula1>$G$10:$G$11</formula1>
    </dataValidation>
    <dataValidation type="list" allowBlank="1" showInputMessage="1" showErrorMessage="1" sqref="C7:C9">
      <formula1>$G$7:$G$9</formula1>
    </dataValidation>
  </dataValidation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sheetPr>
    <tabColor rgb="FFFFFF00"/>
  </sheetPr>
  <dimension ref="A1:L56"/>
  <sheetViews>
    <sheetView zoomScale="85" zoomScaleNormal="85" workbookViewId="0">
      <selection activeCell="G1" sqref="G1:L1048576"/>
    </sheetView>
  </sheetViews>
  <sheetFormatPr defaultRowHeight="15"/>
  <cols>
    <col min="2" max="2" width="26" customWidth="1"/>
    <col min="3" max="3" width="58.5703125" customWidth="1"/>
    <col min="4" max="4" width="28.5703125" customWidth="1"/>
    <col min="5" max="5" width="0.140625" customWidth="1"/>
    <col min="6" max="6" width="0.42578125" customWidth="1"/>
    <col min="7" max="11" width="9.140625" hidden="1" customWidth="1"/>
    <col min="12" max="12" width="12" hidden="1" customWidth="1"/>
    <col min="13" max="13" width="9.140625" customWidth="1"/>
  </cols>
  <sheetData>
    <row r="1" spans="1:12" ht="20.25">
      <c r="A1" s="56" t="s">
        <v>0</v>
      </c>
      <c r="B1" s="56"/>
      <c r="C1" s="56"/>
      <c r="D1" s="56"/>
      <c r="E1" s="56"/>
    </row>
    <row r="2" spans="1:12" ht="18.75">
      <c r="A2" s="57" t="s">
        <v>1</v>
      </c>
      <c r="B2" s="57"/>
      <c r="C2" s="57"/>
      <c r="D2" s="57"/>
      <c r="E2" s="57"/>
    </row>
    <row r="3" spans="1:12" ht="18.75" customHeight="1">
      <c r="A3" s="58" t="s">
        <v>293</v>
      </c>
      <c r="B3" s="57"/>
      <c r="C3" s="57"/>
      <c r="D3" s="57"/>
      <c r="E3" s="57"/>
    </row>
    <row r="4" spans="1:12" ht="16.5" thickBot="1">
      <c r="A4" s="59"/>
      <c r="B4" s="59"/>
      <c r="C4" s="59"/>
      <c r="D4" s="59"/>
      <c r="E4" s="59"/>
    </row>
    <row r="5" spans="1:12" ht="15.75" customHeight="1">
      <c r="A5" s="2" t="s">
        <v>3</v>
      </c>
      <c r="B5" s="60" t="s">
        <v>54</v>
      </c>
      <c r="C5" s="60" t="s">
        <v>55</v>
      </c>
      <c r="D5" s="60" t="s">
        <v>42</v>
      </c>
    </row>
    <row r="6" spans="1:12" ht="16.5" thickBot="1">
      <c r="A6" s="4" t="s">
        <v>4</v>
      </c>
      <c r="B6" s="61"/>
      <c r="C6" s="61"/>
      <c r="D6" s="61"/>
    </row>
    <row r="7" spans="1:12" ht="15" customHeight="1">
      <c r="A7" s="39" t="s">
        <v>5</v>
      </c>
      <c r="B7" s="44" t="s">
        <v>6</v>
      </c>
      <c r="C7" s="44" t="s">
        <v>345</v>
      </c>
      <c r="D7" s="44">
        <f>IF(IFERROR(SEARCH("подразделения ≥ 4,5", C7), 0) &gt; 0, 5, IF(IFERROR(SEARCH("подразделения ≥ 4,0", C7), 0) &gt; 0, 3, IF(IFERROR(SEARCH("&lt;", C7), 0) &gt; 0, 0,)))</f>
        <v>0</v>
      </c>
      <c r="F7">
        <v>5</v>
      </c>
      <c r="G7" s="16" t="s">
        <v>344</v>
      </c>
    </row>
    <row r="8" spans="1:12" ht="15" customHeight="1">
      <c r="A8" s="51"/>
      <c r="B8" s="54"/>
      <c r="C8" s="52"/>
      <c r="D8" s="52"/>
      <c r="F8">
        <v>3</v>
      </c>
      <c r="G8" s="17" t="s">
        <v>343</v>
      </c>
    </row>
    <row r="9" spans="1:12" ht="18.75" customHeight="1" thickBot="1">
      <c r="A9" s="40"/>
      <c r="B9" s="55"/>
      <c r="C9" s="45"/>
      <c r="D9" s="45"/>
      <c r="F9">
        <v>0</v>
      </c>
      <c r="G9" s="18" t="s">
        <v>345</v>
      </c>
    </row>
    <row r="10" spans="1:12" ht="15" customHeight="1">
      <c r="A10" s="39" t="s">
        <v>7</v>
      </c>
      <c r="B10" s="44" t="s">
        <v>8</v>
      </c>
      <c r="C10" s="44" t="s">
        <v>70</v>
      </c>
      <c r="D10" s="44">
        <f>IF(C10="Академические задолжности отсутствуют",10,0)</f>
        <v>0</v>
      </c>
      <c r="F10">
        <v>10</v>
      </c>
    </row>
    <row r="11" spans="1:12" ht="15.75" customHeight="1" thickBot="1">
      <c r="A11" s="40"/>
      <c r="B11" s="45"/>
      <c r="C11" s="45"/>
      <c r="D11" s="45"/>
      <c r="F11">
        <v>0</v>
      </c>
    </row>
    <row r="12" spans="1:12" ht="15" customHeight="1">
      <c r="A12" s="39" t="s">
        <v>9</v>
      </c>
      <c r="B12" s="44" t="s">
        <v>10</v>
      </c>
      <c r="C12" s="44" t="s">
        <v>266</v>
      </c>
      <c r="D12" s="44">
        <f>IF(C12="В подразделении и у КУГ отсутствуют текущие задолжности",5,IF(C12="Имеются менее 20% текущих задолжностей в подразделении или у КУГ",3,IF(C12="Имеются более 20% текущих задолжностей в подразделении или у КУГ",0,)))</f>
        <v>5</v>
      </c>
      <c r="F12">
        <v>5</v>
      </c>
    </row>
    <row r="13" spans="1:12" ht="15" customHeight="1">
      <c r="A13" s="51"/>
      <c r="B13" s="52"/>
      <c r="C13" s="52"/>
      <c r="D13" s="52"/>
      <c r="F13">
        <v>3</v>
      </c>
    </row>
    <row r="14" spans="1:12" ht="15.75" customHeight="1" thickBot="1">
      <c r="A14" s="40"/>
      <c r="B14" s="45"/>
      <c r="C14" s="45"/>
      <c r="D14" s="45"/>
      <c r="F14">
        <v>0</v>
      </c>
    </row>
    <row r="15" spans="1:12" ht="15" customHeight="1">
      <c r="A15" s="39" t="s">
        <v>11</v>
      </c>
      <c r="B15" s="44" t="s">
        <v>39</v>
      </c>
      <c r="C15" s="64" t="s">
        <v>40</v>
      </c>
      <c r="D15" s="44">
        <f>IF(C15="Подразделение прибыло на занятие своевременно; дежурный по аудитории назначен; ЖУУЗ и классная доска оформлены; литература, конспекты, ПЭВМ (по необходимости) получены; внутренний порядок в аудитории поддерживается",5,IF(C15="Подразделение прибыло на занятие своевременно; дежурный по аудитории назначен; литература, конспекты, ПЭВМ (по необходимости) получены; ЖУУЗ или классная доска оформлены не своевременно; или имеются отклонения по  внутреннему порядку в аудитории",3,IF(C15="одразделение опоздало на занятие; или ЖУУЗ и классная доска не оформлены; литература, конспекты, ПЭВМ (по необходимости) не получены; или внутренний порядок в аудитории не поддерживается ",0,)))</f>
        <v>5</v>
      </c>
      <c r="F15">
        <v>5</v>
      </c>
      <c r="L15" s="13" t="s">
        <v>40</v>
      </c>
    </row>
    <row r="16" spans="1:12" ht="15" customHeight="1">
      <c r="A16" s="51"/>
      <c r="B16" s="52"/>
      <c r="C16" s="62"/>
      <c r="D16" s="52"/>
      <c r="F16">
        <v>3</v>
      </c>
      <c r="L16" s="13" t="s">
        <v>77</v>
      </c>
    </row>
    <row r="17" spans="1:12" ht="52.5" customHeight="1" thickBot="1">
      <c r="A17" s="40"/>
      <c r="B17" s="45"/>
      <c r="C17" s="63"/>
      <c r="D17" s="45"/>
      <c r="F17">
        <v>0</v>
      </c>
      <c r="L17" t="s">
        <v>78</v>
      </c>
    </row>
    <row r="18" spans="1:12" ht="15" customHeight="1" thickBot="1">
      <c r="A18" s="39" t="s">
        <v>13</v>
      </c>
      <c r="B18" s="44" t="s">
        <v>41</v>
      </c>
      <c r="C18" s="64" t="s">
        <v>79</v>
      </c>
      <c r="D18" s="44">
        <f>IF(IFERROR(SEARCH("30%", C18), 0) &gt; 0, 5, IF(IFERROR(SEARCH("10%", C18), 0) &gt; 0, 3, IF(IFERROR(SEARCH("не получены", C18), 0) &gt; 0, 0,)))</f>
        <v>5</v>
      </c>
      <c r="F18">
        <v>10</v>
      </c>
      <c r="L18" s="14" t="s">
        <v>79</v>
      </c>
    </row>
    <row r="19" spans="1:12" ht="15" customHeight="1">
      <c r="A19" s="51"/>
      <c r="B19" s="52"/>
      <c r="C19" s="62"/>
      <c r="D19" s="52"/>
      <c r="F19">
        <v>2</v>
      </c>
      <c r="L19" s="13" t="s">
        <v>80</v>
      </c>
    </row>
    <row r="20" spans="1:12" ht="105" customHeight="1" thickBot="1">
      <c r="A20" s="40"/>
      <c r="B20" s="45"/>
      <c r="C20" s="63"/>
      <c r="D20" s="45"/>
      <c r="F20">
        <v>0</v>
      </c>
      <c r="L20" s="13" t="s">
        <v>81</v>
      </c>
    </row>
    <row r="21" spans="1:12" ht="15" customHeight="1">
      <c r="A21" s="39" t="s">
        <v>15</v>
      </c>
      <c r="B21" s="44" t="s">
        <v>12</v>
      </c>
      <c r="C21" s="41" t="s">
        <v>261</v>
      </c>
      <c r="D21" s="44">
        <f>IF(C21="Замечания в подразделении и у КУГ отсутствуют",5,IF(C21="В подразделении 2 замечания у КУГ отсутствуют",3,IF(C21="В подразделении 3 и более замечаний или замечания у КУГ",0,)))</f>
        <v>3</v>
      </c>
      <c r="F21">
        <v>5</v>
      </c>
    </row>
    <row r="22" spans="1:12" ht="15.75" customHeight="1">
      <c r="A22" s="51"/>
      <c r="B22" s="52"/>
      <c r="C22" s="53"/>
      <c r="D22" s="52"/>
      <c r="F22">
        <v>0</v>
      </c>
    </row>
    <row r="23" spans="1:12" ht="82.5" customHeight="1" thickBot="1">
      <c r="A23" s="40"/>
      <c r="B23" s="45"/>
      <c r="C23" s="43"/>
      <c r="D23" s="45"/>
      <c r="F23">
        <v>10</v>
      </c>
    </row>
    <row r="24" spans="1:12" ht="15" customHeight="1">
      <c r="A24" s="39" t="s">
        <v>17</v>
      </c>
      <c r="B24" s="44" t="s">
        <v>14</v>
      </c>
      <c r="C24" s="41" t="s">
        <v>262</v>
      </c>
      <c r="D24" s="44">
        <f>IF(C24="ПРО, ПРЕ, ГДП в подразделении и КУГ отсутствуют",10,IF(C24="ПРО, ПРЕ отсутствуют, имеются не снятые взыскания за ГДП в подразделении, у КУГ отсутствуют",2,IF(C24="Совершено ПРО, ПРЕ, ГДП в подразделении или КУГ или допущено сокрытие",0,)))</f>
        <v>10</v>
      </c>
      <c r="F24">
        <v>5</v>
      </c>
    </row>
    <row r="25" spans="1:12" ht="15.75" customHeight="1">
      <c r="A25" s="51"/>
      <c r="B25" s="52"/>
      <c r="C25" s="53"/>
      <c r="D25" s="52"/>
      <c r="F25">
        <v>0</v>
      </c>
    </row>
    <row r="26" spans="1:12" ht="52.5" customHeight="1" thickBot="1">
      <c r="A26" s="40"/>
      <c r="B26" s="45"/>
      <c r="C26" s="43"/>
      <c r="D26" s="45"/>
      <c r="F26">
        <v>3</v>
      </c>
    </row>
    <row r="27" spans="1:12" ht="15.75" customHeight="1">
      <c r="A27" s="39" t="s">
        <v>20</v>
      </c>
      <c r="B27" s="44" t="s">
        <v>16</v>
      </c>
      <c r="C27" s="41" t="s">
        <v>57</v>
      </c>
      <c r="D27" s="44">
        <f>IF(C27="Дисциплинарная практика к подчиненному личному составу ведется",5,0)</f>
        <v>5</v>
      </c>
      <c r="F27">
        <v>0</v>
      </c>
    </row>
    <row r="28" spans="1:12" ht="15" customHeight="1" thickBot="1">
      <c r="A28" s="40"/>
      <c r="B28" s="45"/>
      <c r="C28" s="43"/>
      <c r="D28" s="45"/>
      <c r="F28">
        <v>5</v>
      </c>
    </row>
    <row r="29" spans="1:12" ht="15" customHeight="1">
      <c r="A29" s="39" t="s">
        <v>23</v>
      </c>
      <c r="B29" s="44" t="s">
        <v>18</v>
      </c>
      <c r="C29" s="41" t="s">
        <v>60</v>
      </c>
      <c r="D29" s="44">
        <f>IF(C29="Обстановкой владеет, доклады представляет, книжка сержантов актуальна",10,IF(C29="Обстановкой владеет, доклады представляет, книжка сержантов не актуальна",5,IF(C29="Обстановкой не владеет, доклады не представляет, книжка сержантов не актуальна",0,)))</f>
        <v>10</v>
      </c>
      <c r="F29">
        <v>3</v>
      </c>
    </row>
    <row r="30" spans="1:12" ht="15.75" customHeight="1">
      <c r="A30" s="51"/>
      <c r="B30" s="52"/>
      <c r="C30" s="53"/>
      <c r="D30" s="52"/>
      <c r="F30">
        <v>0</v>
      </c>
    </row>
    <row r="31" spans="1:12" ht="105" customHeight="1" thickBot="1">
      <c r="A31" s="40"/>
      <c r="B31" s="45"/>
      <c r="C31" s="43"/>
      <c r="D31" s="45"/>
      <c r="F31">
        <v>10</v>
      </c>
    </row>
    <row r="32" spans="1:12" ht="26.25" customHeight="1">
      <c r="A32" s="39" t="s">
        <v>25</v>
      </c>
      <c r="B32" s="44" t="s">
        <v>21</v>
      </c>
      <c r="C32" s="41" t="s">
        <v>75</v>
      </c>
      <c r="D32" s="44">
        <f>IF(C32="Подведение итогов актуально, поставлены конкретные задачи и проводится в установленное время",3,0)</f>
        <v>3</v>
      </c>
      <c r="F32">
        <v>0</v>
      </c>
    </row>
    <row r="33" spans="1:6" ht="30" customHeight="1" thickBot="1">
      <c r="A33" s="40"/>
      <c r="B33" s="45"/>
      <c r="C33" s="43"/>
      <c r="D33" s="45"/>
      <c r="F33">
        <v>10</v>
      </c>
    </row>
    <row r="34" spans="1:6" ht="15" customHeight="1">
      <c r="A34" s="51" t="s">
        <v>27</v>
      </c>
      <c r="B34" s="52" t="s">
        <v>43</v>
      </c>
      <c r="C34" s="41" t="s">
        <v>263</v>
      </c>
      <c r="D34" s="62">
        <f>IF(C34="Увольнения распределены равномерно",2,0)</f>
        <v>2</v>
      </c>
      <c r="F34">
        <v>5</v>
      </c>
    </row>
    <row r="35" spans="1:6" ht="15.75" customHeight="1" thickBot="1">
      <c r="A35" s="40"/>
      <c r="B35" s="45"/>
      <c r="C35" s="43"/>
      <c r="D35" s="63"/>
      <c r="F35">
        <v>0</v>
      </c>
    </row>
    <row r="36" spans="1:6" ht="15" customHeight="1">
      <c r="A36" s="39" t="s">
        <v>29</v>
      </c>
      <c r="B36" s="44" t="s">
        <v>44</v>
      </c>
      <c r="C36" s="44" t="s">
        <v>61</v>
      </c>
      <c r="D36" s="64">
        <f>IF(C36="Наряды и уборщики распределены равномерно",2,IF(C36="Наряды распределены равномерно, уборщики не равномерно",1,IF(C36="Наряды и уборщики распределены не равномерно",0,)))</f>
        <v>2</v>
      </c>
      <c r="F36">
        <v>5</v>
      </c>
    </row>
    <row r="37" spans="1:6" ht="15.75" customHeight="1">
      <c r="A37" s="51"/>
      <c r="B37" s="52"/>
      <c r="C37" s="52"/>
      <c r="D37" s="62"/>
      <c r="F37">
        <v>0</v>
      </c>
    </row>
    <row r="38" spans="1:6" ht="38.25" customHeight="1" thickBot="1">
      <c r="A38" s="40"/>
      <c r="B38" s="45"/>
      <c r="C38" s="45"/>
      <c r="D38" s="63"/>
      <c r="F38">
        <v>2</v>
      </c>
    </row>
    <row r="39" spans="1:6" ht="15.75" customHeight="1">
      <c r="A39" s="39" t="s">
        <v>32</v>
      </c>
      <c r="B39" s="44" t="s">
        <v>24</v>
      </c>
      <c r="C39" s="41" t="s">
        <v>336</v>
      </c>
      <c r="D39" s="44">
        <f>IF(C39="Замечания у подчиненного л/с отсутствуют, КУГ оценен не ниже «хорошо»",5,IF(C39="Выявлено не более 2 замечаний у подчиненного л/с, КУГ оценен не ниже «хорошо»",3,IF(C39="Л/с отстранен или выявлено более 2 замечаний, КУГ оценен ниже «хорошо»",0,)))</f>
        <v>3</v>
      </c>
      <c r="F39">
        <v>1</v>
      </c>
    </row>
    <row r="40" spans="1:6" ht="15" customHeight="1">
      <c r="A40" s="51"/>
      <c r="B40" s="52"/>
      <c r="C40" s="53"/>
      <c r="D40" s="52"/>
    </row>
    <row r="41" spans="1:6" ht="40.5" customHeight="1" thickBot="1">
      <c r="A41" s="40"/>
      <c r="B41" s="45"/>
      <c r="C41" s="43"/>
      <c r="D41" s="45"/>
    </row>
    <row r="42" spans="1:6">
      <c r="A42" s="39" t="s">
        <v>45</v>
      </c>
      <c r="B42" s="44" t="s">
        <v>26</v>
      </c>
      <c r="C42" s="41" t="s">
        <v>65</v>
      </c>
      <c r="D42" s="44">
        <f>IF(C42="Нарушений ТБ, приведших к травматизму л/с нет",10,0)</f>
        <v>10</v>
      </c>
    </row>
    <row r="43" spans="1:6" ht="44.25" customHeight="1" thickBot="1">
      <c r="A43" s="40"/>
      <c r="B43" s="45"/>
      <c r="C43" s="43"/>
      <c r="D43" s="45"/>
    </row>
    <row r="44" spans="1:6">
      <c r="A44" s="39" t="s">
        <v>46</v>
      </c>
      <c r="B44" s="44" t="s">
        <v>28</v>
      </c>
      <c r="C44" s="41" t="s">
        <v>52</v>
      </c>
      <c r="D44" s="44">
        <f>IF(C44="Элементы распорядка дня соблюдаются",10,IF(C44="Не более пяти нарушений распорядка дня, срывов мероприятий не допущено",5,IF(C44="Более пяти нарушений элементов распорядка дня или мероприятие сорвано",0,)))</f>
        <v>10</v>
      </c>
    </row>
    <row r="45" spans="1:6">
      <c r="A45" s="51"/>
      <c r="B45" s="52"/>
      <c r="C45" s="53"/>
      <c r="D45" s="52"/>
    </row>
    <row r="46" spans="1:6" ht="15.75" thickBot="1">
      <c r="A46" s="40"/>
      <c r="B46" s="45"/>
      <c r="C46" s="43"/>
      <c r="D46" s="45"/>
    </row>
    <row r="47" spans="1:6">
      <c r="A47" s="39" t="s">
        <v>47</v>
      </c>
      <c r="B47" s="44" t="s">
        <v>30</v>
      </c>
      <c r="C47" s="41" t="s">
        <v>31</v>
      </c>
      <c r="D47" s="44">
        <f>IF(C47="Материальные средства подразделения в наличии, исправны, обслужены, хранятся правильно",5,0)</f>
        <v>5</v>
      </c>
    </row>
    <row r="48" spans="1:6" ht="45" customHeight="1" thickBot="1">
      <c r="A48" s="40"/>
      <c r="B48" s="45"/>
      <c r="C48" s="43"/>
      <c r="D48" s="45"/>
    </row>
    <row r="49" spans="1:5">
      <c r="A49" s="39" t="s">
        <v>48</v>
      </c>
      <c r="B49" s="44" t="s">
        <v>33</v>
      </c>
      <c r="C49" s="41" t="s">
        <v>49</v>
      </c>
      <c r="D49" s="44">
        <f>IF(C49="Оценка по физической подготовке (культуре) - 5",2,1)</f>
        <v>2</v>
      </c>
    </row>
    <row r="50" spans="1:5" ht="97.5" customHeight="1" thickBot="1">
      <c r="A50" s="40"/>
      <c r="B50" s="45"/>
      <c r="C50" s="43"/>
      <c r="D50" s="45"/>
    </row>
    <row r="51" spans="1:5" ht="15.75">
      <c r="A51" s="46" t="s">
        <v>34</v>
      </c>
      <c r="B51" s="47"/>
      <c r="C51" s="47"/>
      <c r="D51" s="50">
        <f>SUM(D7:D50)</f>
        <v>80</v>
      </c>
      <c r="E51" s="8"/>
    </row>
    <row r="52" spans="1:5" ht="16.5" thickBot="1">
      <c r="A52" s="48"/>
      <c r="B52" s="49"/>
      <c r="C52" s="49"/>
      <c r="D52" s="42"/>
      <c r="E52" s="8"/>
    </row>
    <row r="54" spans="1:5" ht="20.25">
      <c r="A54" s="37" t="s">
        <v>35</v>
      </c>
      <c r="B54" s="37"/>
      <c r="C54" s="37"/>
      <c r="D54" s="37"/>
      <c r="E54" s="37"/>
    </row>
    <row r="55" spans="1:5" ht="20.25">
      <c r="A55" s="38" t="s">
        <v>36</v>
      </c>
      <c r="B55" s="38"/>
      <c r="C55" s="38"/>
      <c r="D55" s="38"/>
      <c r="E55" s="38"/>
    </row>
    <row r="56" spans="1:5" ht="21">
      <c r="A56" s="9"/>
      <c r="B56" s="9"/>
      <c r="C56" s="5" t="s">
        <v>290</v>
      </c>
      <c r="D56" s="5"/>
      <c r="E56" s="9"/>
    </row>
  </sheetData>
  <mergeCells count="79">
    <mergeCell ref="A1:E1"/>
    <mergeCell ref="A2:E2"/>
    <mergeCell ref="A3:E3"/>
    <mergeCell ref="A4:E4"/>
    <mergeCell ref="B5:B6"/>
    <mergeCell ref="C5:C6"/>
    <mergeCell ref="D5:D6"/>
    <mergeCell ref="A7:A9"/>
    <mergeCell ref="B7:B9"/>
    <mergeCell ref="C7:C9"/>
    <mergeCell ref="D7:D9"/>
    <mergeCell ref="A10:A11"/>
    <mergeCell ref="B10:B11"/>
    <mergeCell ref="C10:C11"/>
    <mergeCell ref="D10:D11"/>
    <mergeCell ref="A12:A14"/>
    <mergeCell ref="B12:B14"/>
    <mergeCell ref="C12:C14"/>
    <mergeCell ref="D12:D14"/>
    <mergeCell ref="A15:A17"/>
    <mergeCell ref="B15:B17"/>
    <mergeCell ref="C15:C17"/>
    <mergeCell ref="D15:D17"/>
    <mergeCell ref="A18:A20"/>
    <mergeCell ref="B18:B20"/>
    <mergeCell ref="C18:C20"/>
    <mergeCell ref="D18:D20"/>
    <mergeCell ref="A21:A23"/>
    <mergeCell ref="B21:B23"/>
    <mergeCell ref="C21:C23"/>
    <mergeCell ref="D21:D23"/>
    <mergeCell ref="A24:A26"/>
    <mergeCell ref="B24:B26"/>
    <mergeCell ref="C24:C26"/>
    <mergeCell ref="D24:D26"/>
    <mergeCell ref="A27:A28"/>
    <mergeCell ref="B27:B28"/>
    <mergeCell ref="C27:C28"/>
    <mergeCell ref="D27:D28"/>
    <mergeCell ref="A29:A31"/>
    <mergeCell ref="B29:B31"/>
    <mergeCell ref="C29:C31"/>
    <mergeCell ref="D29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8"/>
    <mergeCell ref="B36:B38"/>
    <mergeCell ref="C36:C38"/>
    <mergeCell ref="D36:D38"/>
    <mergeCell ref="A39:A41"/>
    <mergeCell ref="B39:B41"/>
    <mergeCell ref="C39:C41"/>
    <mergeCell ref="D39:D41"/>
    <mergeCell ref="A42:A43"/>
    <mergeCell ref="B42:B43"/>
    <mergeCell ref="C42:C43"/>
    <mergeCell ref="D42:D43"/>
    <mergeCell ref="A44:A46"/>
    <mergeCell ref="B44:B46"/>
    <mergeCell ref="C44:C46"/>
    <mergeCell ref="D44:D46"/>
    <mergeCell ref="A47:A48"/>
    <mergeCell ref="B47:B48"/>
    <mergeCell ref="C47:C48"/>
    <mergeCell ref="D47:D48"/>
    <mergeCell ref="A54:E54"/>
    <mergeCell ref="A55:E55"/>
    <mergeCell ref="A49:A50"/>
    <mergeCell ref="B49:B50"/>
    <mergeCell ref="C49:C50"/>
    <mergeCell ref="D49:D50"/>
    <mergeCell ref="A51:C52"/>
    <mergeCell ref="D51:D52"/>
  </mergeCells>
  <dataValidations count="17">
    <dataValidation type="list" allowBlank="1" showInputMessage="1" showErrorMessage="1" sqref="C18:C20">
      <formula1>$L$18:$L$20</formula1>
    </dataValidation>
    <dataValidation type="list" allowBlank="1" showInputMessage="1" showErrorMessage="1" sqref="C49:C50">
      <formula1>"Оценка по физической подготовке (культуре) - 5,Оценка по физической подготовке (культуре) - 4"</formula1>
    </dataValidation>
    <dataValidation type="list" allowBlank="1" showInputMessage="1" showErrorMessage="1" sqref="C47:C48">
      <formula1>"Материальные средства подразделения в наличии, исправны, обслужены, хранятся правильно,Не выполнены предъявляемые критерии "</formula1>
    </dataValidation>
    <dataValidation type="list" allowBlank="1" showInputMessage="1" showErrorMessage="1" sqref="C44:C46">
      <formula1>"Элементы распорядка дня соблюдаются,Не более пяти нарушений распорядка дня, срывов мероприятий не допущено,Более пяти нарушений элементов распорядка дня или мероприятие сорвано"</formula1>
    </dataValidation>
    <dataValidation type="list" allowBlank="1" showInputMessage="1" showErrorMessage="1" sqref="C42:C43">
      <formula1>"Нарушений ТБ, приведших к травматизму л/с нет,Есть нарушения ТБ, приведших к травматизму л/с"</formula1>
    </dataValidation>
    <dataValidation type="list" allowBlank="1" showInputMessage="1" showErrorMessage="1" sqref="C39:C41">
      <formula1>"Замечания у подчиненного л/с отсутствуют, КУГ оценен не ниже «хорошо»,Выявлено не более 2 замечаний у подчиненного л/с, КУГ оценен не ниже «хорошо»,Л/с отстранен или выявлено более 2 замечаний, КУГ оценен ниже «хорошо»,"</formula1>
    </dataValidation>
    <dataValidation type="list" allowBlank="1" showInputMessage="1" showErrorMessage="1" sqref="C36:C38">
      <formula1>"Наряды и уборщики распределены равномерно,Наряды распределены равномерно, уборщики не равномерно,Наряды и уборщики распределены не равномерно"</formula1>
    </dataValidation>
    <dataValidation type="list" allowBlank="1" showInputMessage="1" showErrorMessage="1" sqref="C34:C35">
      <formula1>"Увольнения распределены равномерно,Увольнения распределяются не равномерно"</formula1>
    </dataValidation>
    <dataValidation type="list" allowBlank="1" showInputMessage="1" showErrorMessage="1" sqref="C32:C33">
      <formula1>"Подведение итогов актуально, поставлены конкретные задачи и проводится в установленное время,Подведение итогов не актуально, не поставлены задачи или не проводится"</formula1>
    </dataValidation>
    <dataValidation type="list" allowBlank="1" showInputMessage="1" showErrorMessage="1" sqref="C29:C31">
      <formula1>"Обстановкой владеет, доклады представляет, книжка сержантов актуальна,Обстановкой владеет, доклады представляет, книжка сержантов не актуальна,Обстановкой не владеет, доклады не представляет, книжка сержантов не актуальна"</formula1>
    </dataValidation>
    <dataValidation type="list" allowBlank="1" showInputMessage="1" showErrorMessage="1" sqref="C27:C28">
      <formula1>"Дисциплинарная практика к подчиненному личному составу ведется,Дисциплинарная практика к подчиненному личному составу не реализуется или КУГ имеет дисциплинарные взыскания"</formula1>
    </dataValidation>
    <dataValidation type="list" allowBlank="1" showInputMessage="1" showErrorMessage="1" sqref="C24:C26">
      <formula1>"ПРО, ПРЕ, ГДП в подразделении и КУГ отсутствуют, ПРО, ПРЕ отсутствуют, имеются не снятые взыскания за ГДП в подразделении, у КУГ отсутствуют, Совершено ПРО, ПРЕ, ГДП в подразделении или КУГ или допущено сокрытие"</formula1>
    </dataValidation>
    <dataValidation type="list" allowBlank="1" showInputMessage="1" showErrorMessage="1" sqref="C21:C23">
      <formula1>"Замечания в подразделении и у КУГ отсутствуют,В подразделении 2 замечания у КУГ отсутствуют,В подразделении 3 и более замечаний или замечания у КУГ"</formula1>
    </dataValidation>
    <dataValidation type="list" allowBlank="1" showInputMessage="1" showErrorMessage="1" sqref="C15:C17">
      <formula1>$L$15:$L$17</formula1>
    </dataValidation>
    <dataValidation type="list" allowBlank="1" showInputMessage="1" showErrorMessage="1" sqref="C12:C14">
      <formula1>"В подразделении и у КУГ отсутствуют текущие задолжности,Имеются менее 20% текущих задолжностей в подразделении или у КУГ,Имеются более 20% текущих задолжностей в подразделении или у КУГ"</formula1>
    </dataValidation>
    <dataValidation type="list" allowBlank="1" showInputMessage="1" showErrorMessage="1" sqref="C10:C11">
      <formula1>"Академические задолжности отсутствуют, Имеются академические задолжности в учебной группе или у КУГ"</formula1>
    </dataValidation>
    <dataValidation type="list" allowBlank="1" showInputMessage="1" showErrorMessage="1" sqref="C7:C9">
      <formula1>$G$7:$G$9</formula1>
    </dataValidation>
  </dataValidations>
  <pageMargins left="0.7" right="0.7" top="0.75" bottom="0.75" header="0.3" footer="0.3"/>
  <pageSetup paperSize="9" orientation="portrait" verticalDpi="0" r:id="rId1"/>
</worksheet>
</file>

<file path=xl/worksheets/sheet38.xml><?xml version="1.0" encoding="utf-8"?>
<worksheet xmlns="http://schemas.openxmlformats.org/spreadsheetml/2006/main" xmlns:r="http://schemas.openxmlformats.org/officeDocument/2006/relationships">
  <sheetPr>
    <tabColor rgb="FFFFFF00"/>
  </sheetPr>
  <dimension ref="A1:U46"/>
  <sheetViews>
    <sheetView topLeftCell="A19" zoomScale="70" zoomScaleNormal="70" workbookViewId="0">
      <selection activeCell="C23" sqref="C23:C25"/>
    </sheetView>
  </sheetViews>
  <sheetFormatPr defaultRowHeight="15"/>
  <cols>
    <col min="2" max="2" width="26" customWidth="1"/>
    <col min="3" max="3" width="58.5703125" customWidth="1"/>
    <col min="4" max="4" width="28.42578125" customWidth="1"/>
    <col min="5" max="5" width="24.140625" hidden="1" customWidth="1"/>
    <col min="6" max="6" width="24" hidden="1" customWidth="1"/>
    <col min="7" max="7" width="1.85546875" hidden="1" customWidth="1"/>
    <col min="8" max="8" width="18.42578125" customWidth="1"/>
  </cols>
  <sheetData>
    <row r="1" spans="1:21" ht="20.25">
      <c r="A1" s="56" t="s">
        <v>0</v>
      </c>
      <c r="B1" s="56"/>
      <c r="C1" s="56"/>
      <c r="D1" s="56"/>
      <c r="E1" s="56"/>
    </row>
    <row r="2" spans="1:21" ht="18.75">
      <c r="A2" s="57" t="s">
        <v>1</v>
      </c>
      <c r="B2" s="57"/>
      <c r="C2" s="57"/>
      <c r="D2" s="57"/>
      <c r="E2" s="57"/>
    </row>
    <row r="3" spans="1:21" ht="18.75" customHeight="1">
      <c r="A3" s="58" t="s">
        <v>294</v>
      </c>
      <c r="B3" s="57"/>
      <c r="C3" s="57"/>
      <c r="D3" s="57"/>
      <c r="E3" s="57"/>
    </row>
    <row r="4" spans="1:21" ht="16.5" thickBot="1">
      <c r="A4" s="59"/>
      <c r="B4" s="59"/>
      <c r="C4" s="59"/>
      <c r="D4" s="59"/>
      <c r="E4" s="59"/>
    </row>
    <row r="5" spans="1:21" ht="15.75">
      <c r="A5" s="2" t="s">
        <v>3</v>
      </c>
      <c r="B5" s="60" t="s">
        <v>54</v>
      </c>
      <c r="C5" s="60" t="s">
        <v>55</v>
      </c>
      <c r="D5" s="60" t="s">
        <v>42</v>
      </c>
    </row>
    <row r="6" spans="1:21" ht="16.5" thickBot="1">
      <c r="A6" s="4" t="s">
        <v>4</v>
      </c>
      <c r="B6" s="61"/>
      <c r="C6" s="61"/>
      <c r="D6" s="61"/>
    </row>
    <row r="7" spans="1:21" ht="13.5" customHeight="1">
      <c r="A7" s="39" t="s">
        <v>5</v>
      </c>
      <c r="B7" s="44" t="s">
        <v>6</v>
      </c>
      <c r="C7" s="44" t="s">
        <v>84</v>
      </c>
      <c r="D7" s="44">
        <f>IF(IFERROR(SEARCH("подразделения ≥ 4,5", C7), 0) &gt; 0, 5, IF(IFERROR(SEARCH("подразделения ≥ 4,0", C7), 0) &gt; 0, 3, IF(IFERROR(SEARCH("&lt;", C7), 0) &gt; 0, 0,)))</f>
        <v>0</v>
      </c>
      <c r="F7">
        <v>5</v>
      </c>
      <c r="G7" s="16" t="s">
        <v>82</v>
      </c>
      <c r="N7" s="15"/>
      <c r="U7" s="15"/>
    </row>
    <row r="8" spans="1:21" ht="20.25" customHeight="1">
      <c r="A8" s="51"/>
      <c r="B8" s="54"/>
      <c r="C8" s="52"/>
      <c r="D8" s="52"/>
      <c r="F8">
        <v>3</v>
      </c>
      <c r="G8" s="17" t="s">
        <v>83</v>
      </c>
      <c r="N8" s="13"/>
      <c r="U8" s="13"/>
    </row>
    <row r="9" spans="1:21" ht="18" customHeight="1" thickBot="1">
      <c r="A9" s="40"/>
      <c r="B9" s="55"/>
      <c r="C9" s="45"/>
      <c r="D9" s="45"/>
      <c r="F9">
        <v>0</v>
      </c>
      <c r="G9" s="18" t="s">
        <v>84</v>
      </c>
    </row>
    <row r="10" spans="1:21">
      <c r="A10" s="39" t="s">
        <v>7</v>
      </c>
      <c r="B10" s="44" t="s">
        <v>8</v>
      </c>
      <c r="C10" s="44" t="s">
        <v>86</v>
      </c>
      <c r="D10" s="44">
        <f>IF(IFERROR(SEARCH("отсутствуют", C10), 0) &gt; 0, 10, IF(IFERROR(SEARCH("имеются", C10), 0) &gt; 0, 0, ))</f>
        <v>0</v>
      </c>
      <c r="F10">
        <v>10</v>
      </c>
      <c r="G10" t="s">
        <v>85</v>
      </c>
    </row>
    <row r="11" spans="1:21" ht="24.75" customHeight="1" thickBot="1">
      <c r="A11" s="40"/>
      <c r="B11" s="45"/>
      <c r="C11" s="45"/>
      <c r="D11" s="45"/>
      <c r="F11">
        <v>0</v>
      </c>
      <c r="G11" s="13" t="s">
        <v>86</v>
      </c>
    </row>
    <row r="12" spans="1:21" ht="18" customHeight="1" thickBot="1">
      <c r="A12" s="39" t="s">
        <v>9</v>
      </c>
      <c r="B12" s="44" t="s">
        <v>10</v>
      </c>
      <c r="C12" s="44" t="s">
        <v>87</v>
      </c>
      <c r="D12" s="44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>5</v>
      </c>
      <c r="F12">
        <v>5</v>
      </c>
      <c r="G12" s="14" t="s">
        <v>87</v>
      </c>
    </row>
    <row r="13" spans="1:21" ht="15.75">
      <c r="A13" s="51"/>
      <c r="B13" s="52"/>
      <c r="C13" s="52"/>
      <c r="D13" s="52"/>
      <c r="F13">
        <v>3</v>
      </c>
      <c r="G13" s="13" t="s">
        <v>88</v>
      </c>
    </row>
    <row r="14" spans="1:21" ht="16.5" thickBot="1">
      <c r="A14" s="40"/>
      <c r="B14" s="45"/>
      <c r="C14" s="45"/>
      <c r="D14" s="45"/>
      <c r="F14">
        <v>0</v>
      </c>
      <c r="G14" s="13" t="s">
        <v>89</v>
      </c>
    </row>
    <row r="15" spans="1:21" ht="15.75">
      <c r="A15" s="39" t="s">
        <v>11</v>
      </c>
      <c r="B15" s="44" t="s">
        <v>12</v>
      </c>
      <c r="C15" s="41" t="s">
        <v>90</v>
      </c>
      <c r="D15" s="44">
        <f>IF(IFERROR(SEARCH("Отсутствуют", C15), 0) &gt; 0, 5, IF(IFERROR(SEARCH("Наличие одного", C15), 0) &gt; 0, 3, IF(IFERROR(SEARCH("Наличие двух", C15), 0) &gt; 0, 0,)))</f>
        <v>5</v>
      </c>
      <c r="F15">
        <v>5</v>
      </c>
      <c r="G15" s="19" t="s">
        <v>90</v>
      </c>
    </row>
    <row r="16" spans="1:21" ht="15.75">
      <c r="A16" s="51"/>
      <c r="B16" s="52"/>
      <c r="C16" s="53"/>
      <c r="D16" s="52"/>
      <c r="F16">
        <v>3</v>
      </c>
      <c r="G16" s="13" t="s">
        <v>91</v>
      </c>
    </row>
    <row r="17" spans="1:7" ht="92.25" customHeight="1" thickBot="1">
      <c r="A17" s="40"/>
      <c r="B17" s="45"/>
      <c r="C17" s="43"/>
      <c r="D17" s="45"/>
      <c r="F17">
        <v>0</v>
      </c>
      <c r="G17" s="13" t="s">
        <v>92</v>
      </c>
    </row>
    <row r="18" spans="1:7" ht="15" customHeight="1" thickBot="1">
      <c r="A18" s="39" t="s">
        <v>13</v>
      </c>
      <c r="B18" s="44" t="s">
        <v>14</v>
      </c>
      <c r="C18" s="41" t="s">
        <v>93</v>
      </c>
      <c r="D18" s="44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>10</v>
      </c>
      <c r="F18">
        <v>10</v>
      </c>
      <c r="G18" s="13" t="s">
        <v>93</v>
      </c>
    </row>
    <row r="19" spans="1:7" ht="15" customHeight="1" thickBot="1">
      <c r="A19" s="51"/>
      <c r="B19" s="52"/>
      <c r="C19" s="53"/>
      <c r="D19" s="52"/>
      <c r="F19">
        <v>2</v>
      </c>
      <c r="G19" s="14" t="s">
        <v>94</v>
      </c>
    </row>
    <row r="20" spans="1:7" ht="57" customHeight="1" thickBot="1">
      <c r="A20" s="40"/>
      <c r="B20" s="45"/>
      <c r="C20" s="43"/>
      <c r="D20" s="45"/>
      <c r="F20">
        <v>0</v>
      </c>
      <c r="G20" s="13" t="s">
        <v>95</v>
      </c>
    </row>
    <row r="21" spans="1:7" ht="15.75">
      <c r="A21" s="39" t="s">
        <v>15</v>
      </c>
      <c r="B21" s="44" t="s">
        <v>16</v>
      </c>
      <c r="C21" s="41" t="s">
        <v>96</v>
      </c>
      <c r="D21" s="44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>5</v>
      </c>
      <c r="F21">
        <v>5</v>
      </c>
      <c r="G21" s="13" t="s">
        <v>96</v>
      </c>
    </row>
    <row r="22" spans="1:7" ht="42.75" customHeight="1" thickBot="1">
      <c r="A22" s="40"/>
      <c r="B22" s="45"/>
      <c r="C22" s="43"/>
      <c r="D22" s="45"/>
      <c r="F22">
        <v>0</v>
      </c>
      <c r="G22" s="13" t="s">
        <v>97</v>
      </c>
    </row>
    <row r="23" spans="1:7" ht="15.75">
      <c r="A23" s="39" t="s">
        <v>17</v>
      </c>
      <c r="B23" s="44" t="s">
        <v>18</v>
      </c>
      <c r="C23" s="41" t="s">
        <v>19</v>
      </c>
      <c r="D23" s="44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>10</v>
      </c>
      <c r="F23">
        <v>10</v>
      </c>
      <c r="G23" s="13" t="s">
        <v>19</v>
      </c>
    </row>
    <row r="24" spans="1:7" ht="15.75">
      <c r="A24" s="51"/>
      <c r="B24" s="52"/>
      <c r="C24" s="53"/>
      <c r="D24" s="52"/>
      <c r="F24">
        <v>5</v>
      </c>
      <c r="G24" s="13" t="s">
        <v>98</v>
      </c>
    </row>
    <row r="25" spans="1:7" ht="82.5" customHeight="1" thickBot="1">
      <c r="A25" s="40"/>
      <c r="B25" s="45"/>
      <c r="C25" s="43"/>
      <c r="D25" s="45"/>
      <c r="F25">
        <v>0</v>
      </c>
      <c r="G25" s="13" t="s">
        <v>99</v>
      </c>
    </row>
    <row r="26" spans="1:7" ht="15.75">
      <c r="A26" s="39" t="s">
        <v>20</v>
      </c>
      <c r="B26" s="44" t="s">
        <v>21</v>
      </c>
      <c r="C26" s="41" t="s">
        <v>22</v>
      </c>
      <c r="D26" s="44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>3</v>
      </c>
      <c r="F26">
        <v>3</v>
      </c>
      <c r="G26" s="13" t="s">
        <v>22</v>
      </c>
    </row>
    <row r="27" spans="1:7" ht="41.25" customHeight="1" thickBot="1">
      <c r="A27" s="40"/>
      <c r="B27" s="45"/>
      <c r="C27" s="43"/>
      <c r="D27" s="45"/>
      <c r="F27">
        <v>0</v>
      </c>
      <c r="G27" s="13" t="s">
        <v>100</v>
      </c>
    </row>
    <row r="28" spans="1:7" ht="15.75">
      <c r="A28" s="39" t="s">
        <v>23</v>
      </c>
      <c r="B28" s="44" t="s">
        <v>24</v>
      </c>
      <c r="C28" s="41" t="s">
        <v>101</v>
      </c>
      <c r="D28" s="44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>5</v>
      </c>
      <c r="F28">
        <v>5</v>
      </c>
      <c r="G28" s="13" t="s">
        <v>101</v>
      </c>
    </row>
    <row r="29" spans="1:7" ht="15.75">
      <c r="A29" s="51"/>
      <c r="B29" s="52"/>
      <c r="C29" s="53"/>
      <c r="D29" s="52"/>
      <c r="F29">
        <v>3</v>
      </c>
      <c r="G29" s="13" t="s">
        <v>102</v>
      </c>
    </row>
    <row r="30" spans="1:7" ht="61.5" customHeight="1" thickBot="1">
      <c r="A30" s="40"/>
      <c r="B30" s="45"/>
      <c r="C30" s="43"/>
      <c r="D30" s="45"/>
      <c r="F30">
        <v>0</v>
      </c>
      <c r="G30" s="13" t="s">
        <v>103</v>
      </c>
    </row>
    <row r="31" spans="1:7" ht="15.75">
      <c r="A31" s="39" t="s">
        <v>25</v>
      </c>
      <c r="B31" s="44" t="s">
        <v>26</v>
      </c>
      <c r="C31" s="41" t="s">
        <v>104</v>
      </c>
      <c r="D31" s="44">
        <f>IF(IFERROR(SEARCH("Отсутствуют нарушения ТБ", C31), 0) &gt; 0, 10, IF(IFERROR(SEARCH("Имелись нарушения ТБ", C31), 0) &gt; 0, 0, ))</f>
        <v>10</v>
      </c>
      <c r="F31">
        <v>10</v>
      </c>
      <c r="G31" s="13" t="s">
        <v>104</v>
      </c>
    </row>
    <row r="32" spans="1:7" ht="33.75" customHeight="1" thickBot="1">
      <c r="A32" s="40"/>
      <c r="B32" s="45"/>
      <c r="C32" s="43"/>
      <c r="D32" s="45"/>
      <c r="F32">
        <v>0</v>
      </c>
      <c r="G32" s="13" t="s">
        <v>105</v>
      </c>
    </row>
    <row r="33" spans="1:7" ht="15.75">
      <c r="A33" s="39" t="s">
        <v>27</v>
      </c>
      <c r="B33" s="44" t="s">
        <v>28</v>
      </c>
      <c r="C33" s="41" t="s">
        <v>52</v>
      </c>
      <c r="D33" s="44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>10</v>
      </c>
      <c r="F33">
        <v>10</v>
      </c>
      <c r="G33" s="13" t="s">
        <v>52</v>
      </c>
    </row>
    <row r="34" spans="1:7" ht="15.75">
      <c r="A34" s="51"/>
      <c r="B34" s="52"/>
      <c r="C34" s="53"/>
      <c r="D34" s="52"/>
      <c r="F34">
        <v>5</v>
      </c>
      <c r="G34" s="13" t="s">
        <v>106</v>
      </c>
    </row>
    <row r="35" spans="1:7" ht="18" customHeight="1" thickBot="1">
      <c r="A35" s="40"/>
      <c r="B35" s="45"/>
      <c r="C35" s="43"/>
      <c r="D35" s="45"/>
      <c r="F35">
        <v>0</v>
      </c>
      <c r="G35" s="13" t="s">
        <v>107</v>
      </c>
    </row>
    <row r="36" spans="1:7" ht="15.75">
      <c r="A36" s="39" t="s">
        <v>29</v>
      </c>
      <c r="B36" s="44" t="s">
        <v>30</v>
      </c>
      <c r="C36" s="41" t="s">
        <v>31</v>
      </c>
      <c r="D36" s="44">
        <f>IF(IFERROR(SEARCH("Материальные средства ", C36), 0) &gt; 0, 5, IF(IFERROR(SEARCH("Не выполнены ", C36), 0) &gt; 0, 0, ))</f>
        <v>5</v>
      </c>
      <c r="F36">
        <v>5</v>
      </c>
      <c r="G36" s="13" t="s">
        <v>31</v>
      </c>
    </row>
    <row r="37" spans="1:7" ht="45" customHeight="1" thickBot="1">
      <c r="A37" s="40"/>
      <c r="B37" s="45"/>
      <c r="C37" s="43"/>
      <c r="D37" s="45"/>
      <c r="F37">
        <v>0</v>
      </c>
      <c r="G37" s="13" t="s">
        <v>110</v>
      </c>
    </row>
    <row r="38" spans="1:7" ht="15.75">
      <c r="A38" s="39" t="s">
        <v>32</v>
      </c>
      <c r="B38" s="44" t="s">
        <v>33</v>
      </c>
      <c r="C38" s="41" t="s">
        <v>108</v>
      </c>
      <c r="D38" s="44">
        <f>IF(IFERROR(SEARCH("5", C38), 0) &gt; 0, 2, IF(IFERROR(SEARCH("4", C38), 0) &gt; 0, 1, ))</f>
        <v>2</v>
      </c>
      <c r="F38">
        <v>2</v>
      </c>
      <c r="G38" s="13" t="s">
        <v>108</v>
      </c>
    </row>
    <row r="39" spans="1:7" ht="103.5" customHeight="1" thickBot="1">
      <c r="A39" s="40"/>
      <c r="B39" s="45"/>
      <c r="C39" s="43"/>
      <c r="D39" s="45"/>
      <c r="F39">
        <v>1</v>
      </c>
      <c r="G39" s="13" t="s">
        <v>109</v>
      </c>
    </row>
    <row r="40" spans="1:7">
      <c r="A40" s="46" t="s">
        <v>34</v>
      </c>
      <c r="B40" s="47"/>
      <c r="C40" s="66"/>
      <c r="D40" s="68">
        <f>SUM(D7:D39)</f>
        <v>70</v>
      </c>
      <c r="E40" s="65"/>
    </row>
    <row r="41" spans="1:7" ht="15.75" thickBot="1">
      <c r="A41" s="48"/>
      <c r="B41" s="49"/>
      <c r="C41" s="67"/>
      <c r="D41" s="69"/>
      <c r="E41" s="65"/>
    </row>
    <row r="43" spans="1:7" ht="20.25">
      <c r="A43" s="37" t="s">
        <v>35</v>
      </c>
      <c r="B43" s="37"/>
      <c r="C43" s="37"/>
      <c r="D43" s="5"/>
      <c r="E43" s="5"/>
    </row>
    <row r="44" spans="1:7" ht="20.25">
      <c r="A44" s="37"/>
      <c r="B44" s="37"/>
      <c r="C44" s="37"/>
      <c r="D44" s="6"/>
      <c r="E44" s="6"/>
    </row>
    <row r="45" spans="1:7" ht="20.25">
      <c r="A45" s="5"/>
      <c r="B45" s="5"/>
      <c r="C45" s="5" t="s">
        <v>36</v>
      </c>
      <c r="D45" s="5"/>
      <c r="E45" s="5"/>
    </row>
    <row r="46" spans="1:7" ht="20.25">
      <c r="A46" s="5"/>
      <c r="B46" s="5"/>
      <c r="C46" s="5" t="s">
        <v>289</v>
      </c>
    </row>
  </sheetData>
  <mergeCells count="63">
    <mergeCell ref="A1:E1"/>
    <mergeCell ref="A2:E2"/>
    <mergeCell ref="A3:E3"/>
    <mergeCell ref="A4:E4"/>
    <mergeCell ref="B5:B6"/>
    <mergeCell ref="C5:C6"/>
    <mergeCell ref="D5:D6"/>
    <mergeCell ref="A7:A9"/>
    <mergeCell ref="B7:B9"/>
    <mergeCell ref="C7:C9"/>
    <mergeCell ref="D7:D9"/>
    <mergeCell ref="A10:A11"/>
    <mergeCell ref="B10:B11"/>
    <mergeCell ref="C10:C11"/>
    <mergeCell ref="D10:D11"/>
    <mergeCell ref="A12:A14"/>
    <mergeCell ref="B12:B14"/>
    <mergeCell ref="C12:C14"/>
    <mergeCell ref="D12:D14"/>
    <mergeCell ref="A15:A17"/>
    <mergeCell ref="B15:B17"/>
    <mergeCell ref="C15:C17"/>
    <mergeCell ref="D15:D17"/>
    <mergeCell ref="A18:A20"/>
    <mergeCell ref="B18:B20"/>
    <mergeCell ref="C18:C20"/>
    <mergeCell ref="D18:D20"/>
    <mergeCell ref="A21:A22"/>
    <mergeCell ref="B21:B22"/>
    <mergeCell ref="C21:C22"/>
    <mergeCell ref="D21:D22"/>
    <mergeCell ref="A23:A25"/>
    <mergeCell ref="B23:B25"/>
    <mergeCell ref="C23:C25"/>
    <mergeCell ref="D23:D25"/>
    <mergeCell ref="A26:A27"/>
    <mergeCell ref="B26:B27"/>
    <mergeCell ref="C26:C27"/>
    <mergeCell ref="D26:D27"/>
    <mergeCell ref="A28:A30"/>
    <mergeCell ref="B28:B30"/>
    <mergeCell ref="C28:C30"/>
    <mergeCell ref="D28:D30"/>
    <mergeCell ref="A31:A32"/>
    <mergeCell ref="B31:B32"/>
    <mergeCell ref="C31:C32"/>
    <mergeCell ref="D31:D32"/>
    <mergeCell ref="A33:A35"/>
    <mergeCell ref="B33:B35"/>
    <mergeCell ref="C33:C35"/>
    <mergeCell ref="D33:D35"/>
    <mergeCell ref="A36:A37"/>
    <mergeCell ref="B36:B37"/>
    <mergeCell ref="C36:C37"/>
    <mergeCell ref="D36:D37"/>
    <mergeCell ref="E40:E41"/>
    <mergeCell ref="A43:C44"/>
    <mergeCell ref="A38:A39"/>
    <mergeCell ref="B38:B39"/>
    <mergeCell ref="C38:C39"/>
    <mergeCell ref="D38:D39"/>
    <mergeCell ref="A40:C41"/>
    <mergeCell ref="D40:D41"/>
  </mergeCells>
  <dataValidations count="13">
    <dataValidation type="list" allowBlank="1" showInputMessage="1" showErrorMessage="1" sqref="C7:C9">
      <formula1>$G$7:$G$9</formula1>
    </dataValidation>
    <dataValidation type="list" allowBlank="1" showInputMessage="1" showErrorMessage="1" sqref="C10:C11">
      <formula1>$G$10:$G$11</formula1>
    </dataValidation>
    <dataValidation type="list" allowBlank="1" showInputMessage="1" showErrorMessage="1" sqref="C12:C14">
      <formula1>$G$12:$G$14</formula1>
    </dataValidation>
    <dataValidation type="list" allowBlank="1" showInputMessage="1" showErrorMessage="1" sqref="C15:C17">
      <formula1>$G$15:$G$17</formula1>
    </dataValidation>
    <dataValidation type="list" allowBlank="1" showInputMessage="1" showErrorMessage="1" sqref="C18:C20">
      <formula1>$G$18:$G$20</formula1>
    </dataValidation>
    <dataValidation type="list" allowBlank="1" showInputMessage="1" showErrorMessage="1" sqref="C21:C22">
      <formula1>$G$21:$G$22</formula1>
    </dataValidation>
    <dataValidation type="list" allowBlank="1" showInputMessage="1" showErrorMessage="1" sqref="C23:C25">
      <formula1>$G$23:$G$25</formula1>
    </dataValidation>
    <dataValidation type="list" allowBlank="1" showInputMessage="1" showErrorMessage="1" sqref="C26:C27">
      <formula1>$G$26:$G$27</formula1>
    </dataValidation>
    <dataValidation type="list" allowBlank="1" showInputMessage="1" showErrorMessage="1" sqref="C28:C30">
      <formula1>$G$28:$G$30</formula1>
    </dataValidation>
    <dataValidation type="list" allowBlank="1" showInputMessage="1" showErrorMessage="1" sqref="C31:C32">
      <formula1>$G$31:$G$32</formula1>
    </dataValidation>
    <dataValidation type="list" allowBlank="1" showInputMessage="1" showErrorMessage="1" sqref="C33:C35">
      <formula1>$G$33:$G$35</formula1>
    </dataValidation>
    <dataValidation type="list" allowBlank="1" showInputMessage="1" showErrorMessage="1" sqref="C36:C37">
      <formula1>$G$36:$G$37</formula1>
    </dataValidation>
    <dataValidation type="list" allowBlank="1" showInputMessage="1" showErrorMessage="1" sqref="C38:C39">
      <formula1>$G$38:$G$39</formula1>
    </dataValidation>
  </dataValidation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sheetPr>
    <tabColor rgb="FFFFC000"/>
  </sheetPr>
  <dimension ref="A1:G51"/>
  <sheetViews>
    <sheetView zoomScale="55" zoomScaleNormal="55" workbookViewId="0">
      <selection activeCell="C7" sqref="C7:C9"/>
    </sheetView>
  </sheetViews>
  <sheetFormatPr defaultRowHeight="15"/>
  <cols>
    <col min="2" max="2" width="26" customWidth="1"/>
    <col min="3" max="3" width="58.5703125" customWidth="1"/>
    <col min="4" max="4" width="31.5703125" customWidth="1"/>
    <col min="5" max="5" width="33.85546875" hidden="1" customWidth="1"/>
    <col min="6" max="7" width="31.5703125" hidden="1" customWidth="1"/>
  </cols>
  <sheetData>
    <row r="1" spans="1:5" ht="20.25">
      <c r="A1" s="56" t="s">
        <v>0</v>
      </c>
      <c r="B1" s="56"/>
      <c r="C1" s="56"/>
      <c r="D1" s="56"/>
      <c r="E1" s="11"/>
    </row>
    <row r="2" spans="1:5" ht="18.75">
      <c r="A2" s="57" t="s">
        <v>1</v>
      </c>
      <c r="B2" s="57"/>
      <c r="C2" s="57"/>
      <c r="D2" s="57"/>
      <c r="E2" s="12"/>
    </row>
    <row r="3" spans="1:5" ht="18.75" customHeight="1">
      <c r="A3" s="58" t="s">
        <v>274</v>
      </c>
      <c r="B3" s="57"/>
      <c r="C3" s="57"/>
      <c r="D3" s="57"/>
      <c r="E3" s="57"/>
    </row>
    <row r="4" spans="1:5" ht="16.5" thickBot="1">
      <c r="A4" s="59"/>
      <c r="B4" s="59"/>
      <c r="C4" s="59"/>
      <c r="D4" s="59"/>
      <c r="E4" s="59"/>
    </row>
    <row r="5" spans="1:5" ht="15.75">
      <c r="A5" s="2" t="s">
        <v>3</v>
      </c>
      <c r="B5" s="60" t="s">
        <v>54</v>
      </c>
      <c r="C5" s="60" t="s">
        <v>55</v>
      </c>
      <c r="D5" s="60" t="s">
        <v>42</v>
      </c>
    </row>
    <row r="6" spans="1:5" ht="16.5" thickBot="1">
      <c r="A6" s="4" t="s">
        <v>4</v>
      </c>
      <c r="B6" s="61"/>
      <c r="C6" s="61"/>
      <c r="D6" s="61"/>
    </row>
    <row r="7" spans="1:5" ht="16.5" customHeight="1">
      <c r="A7" s="39" t="s">
        <v>5</v>
      </c>
      <c r="B7" s="44" t="s">
        <v>6</v>
      </c>
      <c r="C7" s="44" t="s">
        <v>347</v>
      </c>
      <c r="D7" s="44">
        <f>IF(IFERROR(SEARCH("подразделения ≥ 4,5", C7), 0) &gt; 0, 5, IF(IFERROR(SEARCH("подразделения ≥ 4,0", C7), 0) &gt; 0, 3, IF(IFERROR(SEARCH("&lt;", C7), 0) &gt; 0, 0,)))</f>
        <v>3</v>
      </c>
      <c r="E7" s="16" t="s">
        <v>346</v>
      </c>
    </row>
    <row r="8" spans="1:5" ht="14.25" customHeight="1">
      <c r="A8" s="51"/>
      <c r="B8" s="54"/>
      <c r="C8" s="52"/>
      <c r="D8" s="52"/>
      <c r="E8" s="17" t="s">
        <v>347</v>
      </c>
    </row>
    <row r="9" spans="1:5" ht="18" customHeight="1" thickBot="1">
      <c r="A9" s="40"/>
      <c r="B9" s="55"/>
      <c r="C9" s="45"/>
      <c r="D9" s="45"/>
      <c r="E9" s="18" t="s">
        <v>348</v>
      </c>
    </row>
    <row r="10" spans="1:5">
      <c r="A10" s="39" t="s">
        <v>7</v>
      </c>
      <c r="B10" s="44" t="s">
        <v>8</v>
      </c>
      <c r="C10" s="41" t="s">
        <v>71</v>
      </c>
      <c r="D10" s="44">
        <f>IF(C10="В подразделении и у старшины курса отсутствуют академические задолжности",10,0)</f>
        <v>10</v>
      </c>
    </row>
    <row r="11" spans="1:5" ht="26.25" customHeight="1" thickBot="1">
      <c r="A11" s="40"/>
      <c r="B11" s="45"/>
      <c r="C11" s="43"/>
      <c r="D11" s="45"/>
    </row>
    <row r="12" spans="1:5">
      <c r="A12" s="39" t="s">
        <v>9</v>
      </c>
      <c r="B12" s="44" t="s">
        <v>10</v>
      </c>
      <c r="C12" s="41" t="s">
        <v>58</v>
      </c>
      <c r="D12" s="44">
        <f>IF(C12="Текущие задолжности в подразделении и старшины курса отсутствуют",5,IF(C12="Имеются менее 10% задолжностей в подразделении или у старшины курса",3,IF(C12="Имеютя более 10% задолжностей в подразделении или старшины курса",0,)))</f>
        <v>3</v>
      </c>
    </row>
    <row r="13" spans="1:5">
      <c r="A13" s="51"/>
      <c r="B13" s="52"/>
      <c r="C13" s="53"/>
      <c r="D13" s="52"/>
    </row>
    <row r="14" spans="1:5" ht="30.75" customHeight="1" thickBot="1">
      <c r="A14" s="40"/>
      <c r="B14" s="45"/>
      <c r="C14" s="43"/>
      <c r="D14" s="45"/>
    </row>
    <row r="15" spans="1:5">
      <c r="A15" s="39" t="s">
        <v>11</v>
      </c>
      <c r="B15" s="44" t="s">
        <v>12</v>
      </c>
      <c r="C15" s="41" t="s">
        <v>334</v>
      </c>
      <c r="D15" s="44">
        <f>IF(C15="Замечаний нет",5,0)</f>
        <v>5</v>
      </c>
    </row>
    <row r="16" spans="1:5" ht="15.75" customHeight="1">
      <c r="A16" s="51"/>
      <c r="B16" s="52"/>
      <c r="C16" s="53"/>
      <c r="D16" s="52"/>
    </row>
    <row r="17" spans="1:4" ht="84.75" customHeight="1" thickBot="1">
      <c r="A17" s="40"/>
      <c r="B17" s="45"/>
      <c r="C17" s="43"/>
      <c r="D17" s="45"/>
    </row>
    <row r="18" spans="1:4">
      <c r="A18" s="39" t="s">
        <v>13</v>
      </c>
      <c r="B18" s="44" t="s">
        <v>14</v>
      </c>
      <c r="C18" s="41" t="s">
        <v>337</v>
      </c>
      <c r="D18" s="44">
        <f>IF(C18="ПРО, ПРЕ, ГДП в подразделении и старшины курса отсутствуют",10,IF(C18="ПРО, ПРЕ отсутствуют, имеются не снятые взыскания за ГДП в подразделении, у старшины курса отсутствуют",2,IF(C18="Совершено ПРО, ПРЕ, ГДП в подразделении или старшины курса или допущено сокрытие",0,)))</f>
        <v>2</v>
      </c>
    </row>
    <row r="19" spans="1:4">
      <c r="A19" s="51"/>
      <c r="B19" s="52"/>
      <c r="C19" s="53"/>
      <c r="D19" s="52"/>
    </row>
    <row r="20" spans="1:4" ht="35.25" customHeight="1" thickBot="1">
      <c r="A20" s="40"/>
      <c r="B20" s="45"/>
      <c r="C20" s="43"/>
      <c r="D20" s="45"/>
    </row>
    <row r="21" spans="1:4">
      <c r="A21" s="39" t="s">
        <v>15</v>
      </c>
      <c r="B21" s="44" t="s">
        <v>16</v>
      </c>
      <c r="C21" s="41" t="s">
        <v>57</v>
      </c>
      <c r="D21" s="44">
        <f>IF(C21="Дисциплинарная практика к подчиненному личному составу ведется",5,0)</f>
        <v>5</v>
      </c>
    </row>
    <row r="22" spans="1:4" ht="33.75" customHeight="1" thickBot="1">
      <c r="A22" s="40"/>
      <c r="B22" s="45"/>
      <c r="C22" s="43"/>
      <c r="D22" s="45"/>
    </row>
    <row r="23" spans="1:4">
      <c r="A23" s="39" t="s">
        <v>17</v>
      </c>
      <c r="B23" s="44" t="s">
        <v>18</v>
      </c>
      <c r="C23" s="41" t="s">
        <v>60</v>
      </c>
      <c r="D23" s="44">
        <f>IF(C23="Обстановкой владеет, доклады представляет, книжка сержантов актуальна",10,IF(C23="Обстановкой владеет, доклады представляет, книжка сержантов не актуальна",5,IF(C23="Обстановкой не владеет, доклады не представляет, книжка сержантов не актуальна",0,)))</f>
        <v>10</v>
      </c>
    </row>
    <row r="24" spans="1:4">
      <c r="A24" s="51"/>
      <c r="B24" s="52"/>
      <c r="C24" s="53"/>
      <c r="D24" s="52"/>
    </row>
    <row r="25" spans="1:4" ht="89.25" customHeight="1" thickBot="1">
      <c r="A25" s="40"/>
      <c r="B25" s="45"/>
      <c r="C25" s="43"/>
      <c r="D25" s="45"/>
    </row>
    <row r="26" spans="1:4">
      <c r="A26" s="39" t="s">
        <v>20</v>
      </c>
      <c r="B26" s="44" t="s">
        <v>43</v>
      </c>
      <c r="C26" s="44" t="s">
        <v>69</v>
      </c>
      <c r="D26" s="44">
        <f>IF(C26="Увольнения между учебными группами распределены равномерно",2,0)</f>
        <v>2</v>
      </c>
    </row>
    <row r="27" spans="1:4" ht="15.75" thickBot="1">
      <c r="A27" s="40"/>
      <c r="B27" s="45"/>
      <c r="C27" s="45"/>
      <c r="D27" s="45"/>
    </row>
    <row r="28" spans="1:4">
      <c r="A28" s="39" t="s">
        <v>23</v>
      </c>
      <c r="B28" s="44" t="s">
        <v>44</v>
      </c>
      <c r="C28" s="44" t="s">
        <v>61</v>
      </c>
      <c r="D28" s="44">
        <f>IF(C28="Наряды и уборщики распределены равномерно",2,IF(C28="Наряды распределены равномерно, уборщики не равномерно",1,IF(C28="Наряды и уборщики распределены не равномерно",0,)))</f>
        <v>2</v>
      </c>
    </row>
    <row r="29" spans="1:4">
      <c r="A29" s="51"/>
      <c r="B29" s="52"/>
      <c r="C29" s="52"/>
      <c r="D29" s="52"/>
    </row>
    <row r="30" spans="1:4" ht="41.25" customHeight="1" thickBot="1">
      <c r="A30" s="40"/>
      <c r="B30" s="45"/>
      <c r="C30" s="45"/>
      <c r="D30" s="45"/>
    </row>
    <row r="31" spans="1:4" ht="47.25" customHeight="1">
      <c r="A31" s="39" t="s">
        <v>25</v>
      </c>
      <c r="B31" s="44" t="s">
        <v>51</v>
      </c>
      <c r="C31" s="41" t="s">
        <v>335</v>
      </c>
      <c r="D31" s="44">
        <f>IF(C31="Подготовка проведена, на разводе замечаний нет",5,IF(C31="Подготовка проведена, на разводе более трех замечаний",3,IF(C31="Подготовка не проведена, на разводе более трех замечаний или личный состав не допущен",0,)))</f>
        <v>3</v>
      </c>
    </row>
    <row r="32" spans="1:4">
      <c r="A32" s="51"/>
      <c r="B32" s="52"/>
      <c r="C32" s="53"/>
      <c r="D32" s="52"/>
    </row>
    <row r="33" spans="1:5" ht="7.5" customHeight="1" thickBot="1">
      <c r="A33" s="40"/>
      <c r="B33" s="45"/>
      <c r="C33" s="43"/>
      <c r="D33" s="45"/>
    </row>
    <row r="34" spans="1:5">
      <c r="A34" s="39" t="s">
        <v>27</v>
      </c>
      <c r="B34" s="44" t="s">
        <v>24</v>
      </c>
      <c r="C34" s="41" t="s">
        <v>64</v>
      </c>
      <c r="D34" s="44">
        <f>IF(C34="Замечаний нет, оценка старшине не ниже «хорошо»",5,IF(C34="Замечаний не более пяти, оценка старшине не ниже «хорошо»",3,IF(C34="Замечаний более пяти или наряд отстранен, оценка старшине ниже «хорошо»",0,)))</f>
        <v>3</v>
      </c>
    </row>
    <row r="35" spans="1:5">
      <c r="A35" s="51"/>
      <c r="B35" s="52"/>
      <c r="C35" s="53"/>
      <c r="D35" s="52"/>
    </row>
    <row r="36" spans="1:5" ht="39" customHeight="1" thickBot="1">
      <c r="A36" s="40"/>
      <c r="B36" s="45"/>
      <c r="C36" s="43"/>
      <c r="D36" s="45"/>
    </row>
    <row r="37" spans="1:5">
      <c r="A37" s="39" t="s">
        <v>29</v>
      </c>
      <c r="B37" s="44" t="s">
        <v>26</v>
      </c>
      <c r="C37" s="41" t="s">
        <v>338</v>
      </c>
      <c r="D37" s="44">
        <f>IF(C37="Нарушений ТБ, приведших к травматизму л/с нет",10,0)</f>
        <v>0</v>
      </c>
    </row>
    <row r="38" spans="1:5" ht="43.5" customHeight="1" thickBot="1">
      <c r="A38" s="40"/>
      <c r="B38" s="45"/>
      <c r="C38" s="43"/>
      <c r="D38" s="45"/>
    </row>
    <row r="39" spans="1:5">
      <c r="A39" s="39" t="s">
        <v>32</v>
      </c>
      <c r="B39" s="44" t="s">
        <v>28</v>
      </c>
      <c r="C39" s="41" t="s">
        <v>52</v>
      </c>
      <c r="D39" s="44">
        <f>IF(C39="Элементы распорядка дня соблюдаются",10,IF(C39="Не более пяти нарушений распорядка дня, срывов мероприятий не допущено",5,IF(C39="Более пяти нарушений элементов распорядка дня или мероприятие сорвано »",0,)))</f>
        <v>10</v>
      </c>
    </row>
    <row r="40" spans="1:5">
      <c r="A40" s="51"/>
      <c r="B40" s="52"/>
      <c r="C40" s="53"/>
      <c r="D40" s="52"/>
    </row>
    <row r="41" spans="1:5" ht="15.75" thickBot="1">
      <c r="A41" s="40"/>
      <c r="B41" s="45"/>
      <c r="C41" s="43"/>
      <c r="D41" s="45"/>
    </row>
    <row r="42" spans="1:5">
      <c r="A42" s="39" t="s">
        <v>45</v>
      </c>
      <c r="B42" s="41" t="s">
        <v>30</v>
      </c>
      <c r="C42" s="41" t="s">
        <v>31</v>
      </c>
      <c r="D42" s="44">
        <f>IF(C42="Материальные средства подразделения в наличии, исправны, обслужены, хранятся правильно",5,0)</f>
        <v>5</v>
      </c>
    </row>
    <row r="43" spans="1:5" ht="39.75" customHeight="1" thickBot="1">
      <c r="A43" s="40"/>
      <c r="B43" s="42"/>
      <c r="C43" s="43"/>
      <c r="D43" s="45"/>
    </row>
    <row r="44" spans="1:5">
      <c r="A44" s="39" t="s">
        <v>46</v>
      </c>
      <c r="B44" s="41" t="s">
        <v>53</v>
      </c>
      <c r="C44" s="41" t="s">
        <v>49</v>
      </c>
      <c r="D44" s="44">
        <f>IF(C44="Оценка по физической подготовке (культуре) - 5",2,1)</f>
        <v>2</v>
      </c>
    </row>
    <row r="45" spans="1:5" ht="95.25" customHeight="1" thickBot="1">
      <c r="A45" s="40"/>
      <c r="B45" s="42"/>
      <c r="C45" s="43"/>
      <c r="D45" s="45"/>
    </row>
    <row r="46" spans="1:5" ht="15.75">
      <c r="A46" s="46" t="s">
        <v>34</v>
      </c>
      <c r="B46" s="47"/>
      <c r="C46" s="47"/>
      <c r="D46" s="50">
        <f>SUM(D7:D45)</f>
        <v>65</v>
      </c>
      <c r="E46" s="8"/>
    </row>
    <row r="47" spans="1:5" ht="16.5" thickBot="1">
      <c r="A47" s="48"/>
      <c r="B47" s="49"/>
      <c r="C47" s="49"/>
      <c r="D47" s="42"/>
      <c r="E47" s="8"/>
    </row>
    <row r="49" spans="1:5" ht="20.25">
      <c r="A49" s="37" t="s">
        <v>35</v>
      </c>
      <c r="B49" s="37"/>
      <c r="C49" s="37"/>
      <c r="D49" s="5"/>
      <c r="E49" s="5"/>
    </row>
    <row r="50" spans="1:5" ht="20.25">
      <c r="A50" s="38" t="s">
        <v>36</v>
      </c>
      <c r="B50" s="38"/>
      <c r="C50" s="38"/>
      <c r="D50" s="6"/>
      <c r="E50" s="6"/>
    </row>
    <row r="51" spans="1:5" ht="21">
      <c r="A51" s="9"/>
      <c r="B51" s="9"/>
      <c r="C51" s="10" t="s">
        <v>277</v>
      </c>
      <c r="D51" s="5"/>
      <c r="E51" s="9"/>
    </row>
  </sheetData>
  <mergeCells count="71">
    <mergeCell ref="A1:D1"/>
    <mergeCell ref="A2:D2"/>
    <mergeCell ref="A4:E4"/>
    <mergeCell ref="B5:B6"/>
    <mergeCell ref="C5:C6"/>
    <mergeCell ref="D5:D6"/>
    <mergeCell ref="A7:A9"/>
    <mergeCell ref="B7:B9"/>
    <mergeCell ref="C7:C9"/>
    <mergeCell ref="D7:D9"/>
    <mergeCell ref="A10:A11"/>
    <mergeCell ref="B10:B11"/>
    <mergeCell ref="C10:C11"/>
    <mergeCell ref="D10:D11"/>
    <mergeCell ref="A12:A14"/>
    <mergeCell ref="B12:B14"/>
    <mergeCell ref="C12:C14"/>
    <mergeCell ref="D12:D14"/>
    <mergeCell ref="A15:A17"/>
    <mergeCell ref="B15:B17"/>
    <mergeCell ref="C15:C17"/>
    <mergeCell ref="D15:D17"/>
    <mergeCell ref="A18:A20"/>
    <mergeCell ref="B18:B20"/>
    <mergeCell ref="C18:C20"/>
    <mergeCell ref="D18:D20"/>
    <mergeCell ref="A21:A22"/>
    <mergeCell ref="B21:B22"/>
    <mergeCell ref="C21:C22"/>
    <mergeCell ref="D21:D22"/>
    <mergeCell ref="A23:A25"/>
    <mergeCell ref="B23:B25"/>
    <mergeCell ref="C23:C25"/>
    <mergeCell ref="D23:D25"/>
    <mergeCell ref="A26:A27"/>
    <mergeCell ref="B26:B27"/>
    <mergeCell ref="C26:C27"/>
    <mergeCell ref="D26:D27"/>
    <mergeCell ref="A28:A30"/>
    <mergeCell ref="B28:B30"/>
    <mergeCell ref="C28:C30"/>
    <mergeCell ref="D28:D30"/>
    <mergeCell ref="A31:A33"/>
    <mergeCell ref="B31:B33"/>
    <mergeCell ref="C31:C33"/>
    <mergeCell ref="D31:D33"/>
    <mergeCell ref="D42:D43"/>
    <mergeCell ref="A34:A36"/>
    <mergeCell ref="B34:B36"/>
    <mergeCell ref="C34:C36"/>
    <mergeCell ref="D34:D36"/>
    <mergeCell ref="A37:A38"/>
    <mergeCell ref="B37:B38"/>
    <mergeCell ref="C37:C38"/>
    <mergeCell ref="D37:D38"/>
    <mergeCell ref="A49:C49"/>
    <mergeCell ref="A50:C50"/>
    <mergeCell ref="A3:E3"/>
    <mergeCell ref="A44:A45"/>
    <mergeCell ref="B44:B45"/>
    <mergeCell ref="C44:C45"/>
    <mergeCell ref="D44:D45"/>
    <mergeCell ref="A46:C47"/>
    <mergeCell ref="D46:D47"/>
    <mergeCell ref="A39:A41"/>
    <mergeCell ref="B39:B41"/>
    <mergeCell ref="C39:C41"/>
    <mergeCell ref="D39:D41"/>
    <mergeCell ref="A42:A43"/>
    <mergeCell ref="B42:B43"/>
    <mergeCell ref="C42:C43"/>
  </mergeCells>
  <dataValidations count="16">
    <dataValidation type="list" allowBlank="1" showInputMessage="1" showErrorMessage="1" sqref="C44:C45">
      <formula1>"Оценка по физической подготовке (культуре) - 5,Оценка по физической подготовке (культуре) - 4"</formula1>
    </dataValidation>
    <dataValidation type="list" allowBlank="1" showInputMessage="1" showErrorMessage="1" sqref="C42:C43">
      <formula1>"Материальные средства подразделения в наличии, исправны, обслужены, хранятся правильно,Не выполнены предъявляемые критерии "</formula1>
    </dataValidation>
    <dataValidation type="list" allowBlank="1" showInputMessage="1" showErrorMessage="1" sqref="C39:C41">
      <formula1>"Элементы распорядка дня соблюдаются,Не более пяти нарушений распорядка дня, срывов мероприятий не допущено,Более пяти нарушений элементов распорядка дня или мероприятие сорвано "</formula1>
    </dataValidation>
    <dataValidation type="list" allowBlank="1" showInputMessage="1" showErrorMessage="1" sqref="C37:C38">
      <formula1>"Нарушений ТБ, приведших к травматизму л/с нет,Есть нарушения ТБ, приведших к травматизму л/с"</formula1>
    </dataValidation>
    <dataValidation type="list" allowBlank="1" showInputMessage="1" showErrorMessage="1" sqref="C34:C36">
      <formula1>"Замечаний нет, оценка старшине не ниже «хорошо»,Замечаний не более пяти, оценка старшине не ниже «хорошо»,Замечаний более пяти или наряд отстранен, оценка старшине ниже «хорошо»"</formula1>
    </dataValidation>
    <dataValidation type="list" allowBlank="1" showInputMessage="1" showErrorMessage="1" sqref="C31:C33">
      <formula1>"Подготовка проведена, на разводе замечаний нет,Подготовка проведена, на разводе более трех замечаний,Подготовка не проведена, на разводе более трех замечаний или личный состав не допущен,"</formula1>
    </dataValidation>
    <dataValidation type="list" allowBlank="1" showInputMessage="1" showErrorMessage="1" sqref="C28:C30">
      <formula1>"Наряды и уборщики распределены равномерно,Наряды распределены равномерно, уборщики не равномерно,Наряды и уборщики распределены не равномерно"</formula1>
    </dataValidation>
    <dataValidation type="list" allowBlank="1" showInputMessage="1" showErrorMessage="1" sqref="C26:C27">
      <formula1>"Увольнения между учебными группами распределены равномерно,Увольнение между учебными группами распределены не равномерно"</formula1>
    </dataValidation>
    <dataValidation type="list" allowBlank="1" showInputMessage="1" showErrorMessage="1" sqref="C23:C25">
      <formula1>"Обстановкой владеет, доклады представляет, книжка сержантов актуальна,Обстановкой владеет, доклады представляет, книжка сержантов не актуальна,Обстановкой не владеет, доклады не представляет, книжка сержантов не актуальна"</formula1>
    </dataValidation>
    <dataValidation type="list" allowBlank="1" showInputMessage="1" showErrorMessage="1" sqref="G7">
      <formula1>"яблоко,ананас,кефир"</formula1>
    </dataValidation>
    <dataValidation type="list" allowBlank="1" showInputMessage="1" showErrorMessage="1" sqref="C21:C22">
      <formula1>"Дисциплинарная практика к подчиненному личному составу ведется,Дисциплинарная практика к подчиненному личному составу не реализуется или старшина курса имеет дисциплинарные взыскания"</formula1>
    </dataValidation>
    <dataValidation type="list" allowBlank="1" showInputMessage="1" showErrorMessage="1" sqref="C18:C20">
      <formula1>"ПРО, ПРЕ, ГДП в подразделении и старшины курса отсутствуют, ПРО, ПРЕ отсутствуют, имеются не снятые взыскания за ГДП в подразделении, у старшины курса отсутствуют, Совершено ПРО, ПРЕ, ГДП в подразделении или старшины курса или допущено сокрытие"</formula1>
    </dataValidation>
    <dataValidation type="list" allowBlank="1" showInputMessage="1" showErrorMessage="1" sqref="C15:C17">
      <formula1>"Замечаний нет,Имеются замечания"</formula1>
    </dataValidation>
    <dataValidation type="list" allowBlank="1" showInputMessage="1" showErrorMessage="1" sqref="C7:C9">
      <formula1>$E$7:$E$9</formula1>
    </dataValidation>
    <dataValidation type="list" allowBlank="1" showInputMessage="1" showErrorMessage="1" sqref="C12:C14">
      <formula1>"Текущие задолжности в подразделении и старшины курса отсутствуют,Имеются менее 10% задолжностей в подразделении или у старшины курса,Имеютя более 10% задолжностей в подразделении или старшины курса"</formula1>
    </dataValidation>
    <dataValidation type="list" allowBlank="1" showInputMessage="1" showErrorMessage="1" sqref="C10:C11">
      <formula1>"В подразделении и у старшины курса отсутствуют академические задолжности, Имеются задолжности в подразделении или у старшины курса"</formula1>
    </dataValidation>
  </dataValidation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sheetPr>
    <tabColor rgb="FFFFC000"/>
  </sheetPr>
  <dimension ref="A1:L56"/>
  <sheetViews>
    <sheetView topLeftCell="A3" zoomScale="70" zoomScaleNormal="70" workbookViewId="0">
      <selection activeCell="G3" sqref="G1:L1048576"/>
    </sheetView>
  </sheetViews>
  <sheetFormatPr defaultRowHeight="15"/>
  <cols>
    <col min="2" max="2" width="26" customWidth="1"/>
    <col min="3" max="3" width="58.5703125" customWidth="1"/>
    <col min="4" max="4" width="28.5703125" customWidth="1"/>
    <col min="5" max="5" width="0.140625" customWidth="1"/>
    <col min="6" max="6" width="0.42578125" customWidth="1"/>
    <col min="7" max="11" width="9.140625" hidden="1" customWidth="1"/>
    <col min="12" max="12" width="12" hidden="1" customWidth="1"/>
    <col min="13" max="13" width="9.140625" customWidth="1"/>
  </cols>
  <sheetData>
    <row r="1" spans="1:12" ht="20.25">
      <c r="A1" s="56" t="s">
        <v>0</v>
      </c>
      <c r="B1" s="56"/>
      <c r="C1" s="56"/>
      <c r="D1" s="56"/>
      <c r="E1" s="56"/>
    </row>
    <row r="2" spans="1:12" ht="18.75">
      <c r="A2" s="57" t="s">
        <v>1</v>
      </c>
      <c r="B2" s="57"/>
      <c r="C2" s="57"/>
      <c r="D2" s="57"/>
      <c r="E2" s="57"/>
    </row>
    <row r="3" spans="1:12" ht="18.75" customHeight="1">
      <c r="A3" s="58" t="s">
        <v>275</v>
      </c>
      <c r="B3" s="57"/>
      <c r="C3" s="57"/>
      <c r="D3" s="57"/>
      <c r="E3" s="57"/>
    </row>
    <row r="4" spans="1:12" ht="16.5" thickBot="1">
      <c r="A4" s="59"/>
      <c r="B4" s="59"/>
      <c r="C4" s="59"/>
      <c r="D4" s="59"/>
      <c r="E4" s="59"/>
    </row>
    <row r="5" spans="1:12" ht="15.75" customHeight="1">
      <c r="A5" s="2" t="s">
        <v>3</v>
      </c>
      <c r="B5" s="60" t="s">
        <v>54</v>
      </c>
      <c r="C5" s="60" t="s">
        <v>55</v>
      </c>
      <c r="D5" s="60" t="s">
        <v>42</v>
      </c>
    </row>
    <row r="6" spans="1:12" ht="16.5" thickBot="1">
      <c r="A6" s="4" t="s">
        <v>4</v>
      </c>
      <c r="B6" s="61"/>
      <c r="C6" s="61"/>
      <c r="D6" s="61"/>
    </row>
    <row r="7" spans="1:12" ht="15" customHeight="1">
      <c r="A7" s="39" t="s">
        <v>5</v>
      </c>
      <c r="B7" s="44" t="s">
        <v>6</v>
      </c>
      <c r="C7" s="44" t="s">
        <v>343</v>
      </c>
      <c r="D7" s="44">
        <f>IF(IFERROR(SEARCH("подразделения ≥ 4,5", C7), 0) &gt; 0, 5, IF(IFERROR(SEARCH("подразделения ≥ 4,0", C7), 0) &gt; 0, 3, IF(IFERROR(SEARCH("&lt;", C7), 0) &gt; 0, 0,)))</f>
        <v>3</v>
      </c>
      <c r="F7">
        <v>5</v>
      </c>
      <c r="G7" s="16" t="s">
        <v>344</v>
      </c>
    </row>
    <row r="8" spans="1:12" ht="15" customHeight="1">
      <c r="A8" s="51"/>
      <c r="B8" s="54"/>
      <c r="C8" s="52"/>
      <c r="D8" s="52"/>
      <c r="F8">
        <v>3</v>
      </c>
      <c r="G8" s="17" t="s">
        <v>343</v>
      </c>
    </row>
    <row r="9" spans="1:12" ht="18.75" customHeight="1" thickBot="1">
      <c r="A9" s="40"/>
      <c r="B9" s="55"/>
      <c r="C9" s="45"/>
      <c r="D9" s="45"/>
      <c r="F9">
        <v>0</v>
      </c>
      <c r="G9" s="18" t="s">
        <v>345</v>
      </c>
    </row>
    <row r="10" spans="1:12" ht="15" customHeight="1">
      <c r="A10" s="39" t="s">
        <v>7</v>
      </c>
      <c r="B10" s="44" t="s">
        <v>8</v>
      </c>
      <c r="C10" s="44" t="s">
        <v>259</v>
      </c>
      <c r="D10" s="44">
        <f>IF(C10="Академические задолжности отсутствуют",10,0)</f>
        <v>10</v>
      </c>
      <c r="F10">
        <v>10</v>
      </c>
    </row>
    <row r="11" spans="1:12" ht="15.75" customHeight="1" thickBot="1">
      <c r="A11" s="40"/>
      <c r="B11" s="45"/>
      <c r="C11" s="45"/>
      <c r="D11" s="45"/>
      <c r="F11">
        <v>0</v>
      </c>
    </row>
    <row r="12" spans="1:12" ht="15" customHeight="1">
      <c r="A12" s="39" t="s">
        <v>9</v>
      </c>
      <c r="B12" s="44" t="s">
        <v>10</v>
      </c>
      <c r="C12" s="44" t="s">
        <v>266</v>
      </c>
      <c r="D12" s="44">
        <f>IF(C12="В подразделении и у КУГ отсутствуют текущие задолжности",5,IF(C12="Имеются менее 20% текущих задолжностей в подразделении или у КУГ",3,IF(C12="Имеются более 20% текущих задолжностей в подразделении или у КУГ",0,)))</f>
        <v>5</v>
      </c>
      <c r="F12">
        <v>5</v>
      </c>
    </row>
    <row r="13" spans="1:12" ht="15" customHeight="1">
      <c r="A13" s="51"/>
      <c r="B13" s="52"/>
      <c r="C13" s="52"/>
      <c r="D13" s="52"/>
      <c r="F13">
        <v>3</v>
      </c>
    </row>
    <row r="14" spans="1:12" ht="15.75" customHeight="1" thickBot="1">
      <c r="A14" s="40"/>
      <c r="B14" s="45"/>
      <c r="C14" s="45"/>
      <c r="D14" s="45"/>
      <c r="F14">
        <v>0</v>
      </c>
    </row>
    <row r="15" spans="1:12" ht="15" customHeight="1">
      <c r="A15" s="39" t="s">
        <v>11</v>
      </c>
      <c r="B15" s="44" t="s">
        <v>39</v>
      </c>
      <c r="C15" s="64" t="s">
        <v>40</v>
      </c>
      <c r="D15" s="44">
        <f>IF(C15="Подразделение прибыло на занятие своевременно; дежурный по аудитории назначен; ЖУУЗ и классная доска оформлены; литература, конспекты, ПЭВМ (по необходимости) получены; внутренний порядок в аудитории поддерживается",5,IF(C15="Подразделение прибыло на занятие своевременно; дежурный по аудитории назначен; литература, конспекты, ПЭВМ (по необходимости) получены; ЖУУЗ или классная доска оформлены не своевременно; или имеются отклонения по  внутреннему порядку в аудитории",3,IF(C15="одразделение опоздало на занятие; или ЖУУЗ и классная доска не оформлены; литература, конспекты, ПЭВМ (по необходимости) не получены; или внутренний порядок в аудитории не поддерживается ",0,)))</f>
        <v>5</v>
      </c>
      <c r="F15">
        <v>5</v>
      </c>
      <c r="L15" s="13" t="s">
        <v>40</v>
      </c>
    </row>
    <row r="16" spans="1:12" ht="15" customHeight="1">
      <c r="A16" s="51"/>
      <c r="B16" s="52"/>
      <c r="C16" s="62"/>
      <c r="D16" s="52"/>
      <c r="F16">
        <v>3</v>
      </c>
      <c r="L16" s="13" t="s">
        <v>77</v>
      </c>
    </row>
    <row r="17" spans="1:12" ht="52.5" customHeight="1" thickBot="1">
      <c r="A17" s="40"/>
      <c r="B17" s="45"/>
      <c r="C17" s="63"/>
      <c r="D17" s="45"/>
      <c r="F17">
        <v>0</v>
      </c>
      <c r="L17" t="s">
        <v>78</v>
      </c>
    </row>
    <row r="18" spans="1:12" ht="15" customHeight="1" thickBot="1">
      <c r="A18" s="39" t="s">
        <v>13</v>
      </c>
      <c r="B18" s="44" t="s">
        <v>41</v>
      </c>
      <c r="C18" s="64" t="s">
        <v>81</v>
      </c>
      <c r="D18" s="44">
        <f>IF(IFERROR(SEARCH("30%", C18), 0) &gt; 0, 5, IF(IFERROR(SEARCH("10%", C18), 0) &gt; 0, 3, IF(IFERROR(SEARCH("не получены", C18), 0) &gt; 0, 0,)))</f>
        <v>0</v>
      </c>
      <c r="F18">
        <v>10</v>
      </c>
      <c r="L18" s="14" t="s">
        <v>79</v>
      </c>
    </row>
    <row r="19" spans="1:12" ht="15" customHeight="1">
      <c r="A19" s="51"/>
      <c r="B19" s="52"/>
      <c r="C19" s="62"/>
      <c r="D19" s="52"/>
      <c r="F19">
        <v>2</v>
      </c>
      <c r="L19" s="13" t="s">
        <v>80</v>
      </c>
    </row>
    <row r="20" spans="1:12" ht="105" customHeight="1" thickBot="1">
      <c r="A20" s="40"/>
      <c r="B20" s="45"/>
      <c r="C20" s="63"/>
      <c r="D20" s="45"/>
      <c r="F20">
        <v>0</v>
      </c>
      <c r="L20" s="13" t="s">
        <v>81</v>
      </c>
    </row>
    <row r="21" spans="1:12" ht="15" customHeight="1">
      <c r="A21" s="39" t="s">
        <v>15</v>
      </c>
      <c r="B21" s="44" t="s">
        <v>12</v>
      </c>
      <c r="C21" s="41" t="s">
        <v>73</v>
      </c>
      <c r="D21" s="44">
        <f>IF(C21="Замечания в подразделении и у КУГ отсутствуют",5,IF(C21="В подразделении 2 замечания у КУГ отсутствуют",3,IF(C21="В подразделении 3 и более замечаний или замечания у КУГ",0,)))</f>
        <v>5</v>
      </c>
      <c r="F21">
        <v>5</v>
      </c>
    </row>
    <row r="22" spans="1:12" ht="15.75" customHeight="1">
      <c r="A22" s="51"/>
      <c r="B22" s="52"/>
      <c r="C22" s="53"/>
      <c r="D22" s="52"/>
      <c r="F22">
        <v>0</v>
      </c>
    </row>
    <row r="23" spans="1:12" ht="82.5" customHeight="1" thickBot="1">
      <c r="A23" s="40"/>
      <c r="B23" s="45"/>
      <c r="C23" s="43"/>
      <c r="D23" s="45"/>
      <c r="F23">
        <v>10</v>
      </c>
    </row>
    <row r="24" spans="1:12" ht="15" customHeight="1">
      <c r="A24" s="39" t="s">
        <v>17</v>
      </c>
      <c r="B24" s="44" t="s">
        <v>14</v>
      </c>
      <c r="C24" s="41" t="s">
        <v>262</v>
      </c>
      <c r="D24" s="44">
        <f>IF(C24="ПРО, ПРЕ, ГДП в подразделении и КУГ отсутствуют",10,IF(C24="ПРО, ПРЕ отсутствуют, имеются не снятые взыскания за ГДП в подразделении, у КУГ отсутствуют",2,IF(C24="Совершено ПРО, ПРЕ, ГДП в подразделении или КУГ или допущено сокрытие",0,)))</f>
        <v>10</v>
      </c>
      <c r="F24">
        <v>5</v>
      </c>
    </row>
    <row r="25" spans="1:12" ht="15.75" customHeight="1">
      <c r="A25" s="51"/>
      <c r="B25" s="52"/>
      <c r="C25" s="53"/>
      <c r="D25" s="52"/>
      <c r="F25">
        <v>0</v>
      </c>
    </row>
    <row r="26" spans="1:12" ht="52.5" customHeight="1" thickBot="1">
      <c r="A26" s="40"/>
      <c r="B26" s="45"/>
      <c r="C26" s="43"/>
      <c r="D26" s="45"/>
      <c r="F26">
        <v>3</v>
      </c>
    </row>
    <row r="27" spans="1:12" ht="15.75" customHeight="1">
      <c r="A27" s="39" t="s">
        <v>20</v>
      </c>
      <c r="B27" s="44" t="s">
        <v>16</v>
      </c>
      <c r="C27" s="41" t="s">
        <v>57</v>
      </c>
      <c r="D27" s="44">
        <f>IF(C27="Дисциплинарная практика к подчиненному личному составу ведется",5,0)</f>
        <v>5</v>
      </c>
      <c r="F27">
        <v>0</v>
      </c>
    </row>
    <row r="28" spans="1:12" ht="15" customHeight="1" thickBot="1">
      <c r="A28" s="40"/>
      <c r="B28" s="45"/>
      <c r="C28" s="43"/>
      <c r="D28" s="45"/>
      <c r="F28">
        <v>5</v>
      </c>
    </row>
    <row r="29" spans="1:12" ht="15" customHeight="1">
      <c r="A29" s="39" t="s">
        <v>23</v>
      </c>
      <c r="B29" s="44" t="s">
        <v>18</v>
      </c>
      <c r="C29" s="41" t="s">
        <v>60</v>
      </c>
      <c r="D29" s="44">
        <f>IF(C29="Обстановкой владеет, доклады представляет, книжка сержантов актуальна",10,IF(C29="Обстановкой владеет, доклады представляет, книжка сержантов не актуальна",5,IF(C29="Обстановкой не владеет, доклады не представляет, книжка сержантов не актуальна",0,)))</f>
        <v>10</v>
      </c>
      <c r="F29">
        <v>3</v>
      </c>
    </row>
    <row r="30" spans="1:12" ht="15.75" customHeight="1">
      <c r="A30" s="51"/>
      <c r="B30" s="52"/>
      <c r="C30" s="53"/>
      <c r="D30" s="52"/>
      <c r="F30">
        <v>0</v>
      </c>
    </row>
    <row r="31" spans="1:12" ht="105" customHeight="1" thickBot="1">
      <c r="A31" s="40"/>
      <c r="B31" s="45"/>
      <c r="C31" s="43"/>
      <c r="D31" s="45"/>
      <c r="F31">
        <v>10</v>
      </c>
    </row>
    <row r="32" spans="1:12" ht="26.25" customHeight="1">
      <c r="A32" s="39" t="s">
        <v>25</v>
      </c>
      <c r="B32" s="44" t="s">
        <v>21</v>
      </c>
      <c r="C32" s="41" t="s">
        <v>267</v>
      </c>
      <c r="D32" s="44">
        <f>IF(C32="Подведение итогов актуально, поставлены конкретные задачи и проводится в установленное время",3,0)</f>
        <v>0</v>
      </c>
      <c r="F32">
        <v>0</v>
      </c>
    </row>
    <row r="33" spans="1:6" ht="30" customHeight="1" thickBot="1">
      <c r="A33" s="40"/>
      <c r="B33" s="45"/>
      <c r="C33" s="43"/>
      <c r="D33" s="45"/>
      <c r="F33">
        <v>10</v>
      </c>
    </row>
    <row r="34" spans="1:6" ht="15" customHeight="1">
      <c r="A34" s="51" t="s">
        <v>27</v>
      </c>
      <c r="B34" s="52" t="s">
        <v>43</v>
      </c>
      <c r="C34" s="41" t="s">
        <v>76</v>
      </c>
      <c r="D34" s="62">
        <f>IF(C34="Увольнения распределены равномерно",2,0)</f>
        <v>0</v>
      </c>
      <c r="F34">
        <v>5</v>
      </c>
    </row>
    <row r="35" spans="1:6" ht="15.75" customHeight="1" thickBot="1">
      <c r="A35" s="40"/>
      <c r="B35" s="45"/>
      <c r="C35" s="43"/>
      <c r="D35" s="63"/>
      <c r="F35">
        <v>0</v>
      </c>
    </row>
    <row r="36" spans="1:6" ht="15" customHeight="1">
      <c r="A36" s="39" t="s">
        <v>29</v>
      </c>
      <c r="B36" s="44" t="s">
        <v>44</v>
      </c>
      <c r="C36" s="44" t="s">
        <v>62</v>
      </c>
      <c r="D36" s="64">
        <f>IF(C36="Наряды и уборщики распределены равномерно",2,IF(C36="Наряды распределены равномерно, уборщики не равномерно",1,IF(C36="Наряды и уборщики распределены не равномерно",0,)))</f>
        <v>1</v>
      </c>
      <c r="F36">
        <v>5</v>
      </c>
    </row>
    <row r="37" spans="1:6" ht="15.75" customHeight="1">
      <c r="A37" s="51"/>
      <c r="B37" s="52"/>
      <c r="C37" s="52"/>
      <c r="D37" s="62"/>
      <c r="F37">
        <v>0</v>
      </c>
    </row>
    <row r="38" spans="1:6" ht="38.25" customHeight="1" thickBot="1">
      <c r="A38" s="40"/>
      <c r="B38" s="45"/>
      <c r="C38" s="45"/>
      <c r="D38" s="63"/>
      <c r="F38">
        <v>2</v>
      </c>
    </row>
    <row r="39" spans="1:6" ht="15.75" customHeight="1">
      <c r="A39" s="39" t="s">
        <v>32</v>
      </c>
      <c r="B39" s="44" t="s">
        <v>24</v>
      </c>
      <c r="C39" s="41" t="s">
        <v>264</v>
      </c>
      <c r="D39" s="44">
        <f>IF(C39="Замечания у подчиненного л/с отсутствуют, КУГ оценен не ниже «хорошо»",5,IF(C39="Выявлено не более 2 замечаний у подчиненного л/с, КУГ оценен не ниже «хорошо»",3,IF(C39="Л/с отстранен или выявлено более 2 замечаний, КУГ оценен ниже «хорошо»",0,)))</f>
        <v>5</v>
      </c>
      <c r="F39">
        <v>1</v>
      </c>
    </row>
    <row r="40" spans="1:6" ht="15" customHeight="1">
      <c r="A40" s="51"/>
      <c r="B40" s="52"/>
      <c r="C40" s="53"/>
      <c r="D40" s="52"/>
    </row>
    <row r="41" spans="1:6" ht="40.5" customHeight="1" thickBot="1">
      <c r="A41" s="40"/>
      <c r="B41" s="45"/>
      <c r="C41" s="43"/>
      <c r="D41" s="45"/>
    </row>
    <row r="42" spans="1:6">
      <c r="A42" s="39" t="s">
        <v>45</v>
      </c>
      <c r="B42" s="44" t="s">
        <v>26</v>
      </c>
      <c r="C42" s="41" t="s">
        <v>338</v>
      </c>
      <c r="D42" s="44">
        <f>IF(C42="Нарушений ТБ, приведших к травматизму л/с нет",10,0)</f>
        <v>0</v>
      </c>
    </row>
    <row r="43" spans="1:6" ht="44.25" customHeight="1" thickBot="1">
      <c r="A43" s="40"/>
      <c r="B43" s="45"/>
      <c r="C43" s="43"/>
      <c r="D43" s="45"/>
    </row>
    <row r="44" spans="1:6">
      <c r="A44" s="39" t="s">
        <v>46</v>
      </c>
      <c r="B44" s="44" t="s">
        <v>28</v>
      </c>
      <c r="C44" s="41" t="s">
        <v>52</v>
      </c>
      <c r="D44" s="44">
        <f>IF(C44="Элементы распорядка дня соблюдаются",10,IF(C44="Не более пяти нарушений распорядка дня, срывов мероприятий не допущено",5,IF(C44="Более пяти нарушений элементов распорядка дня или мероприятие сорвано",0,)))</f>
        <v>10</v>
      </c>
    </row>
    <row r="45" spans="1:6">
      <c r="A45" s="51"/>
      <c r="B45" s="52"/>
      <c r="C45" s="53"/>
      <c r="D45" s="52"/>
    </row>
    <row r="46" spans="1:6" ht="15.75" thickBot="1">
      <c r="A46" s="40"/>
      <c r="B46" s="45"/>
      <c r="C46" s="43"/>
      <c r="D46" s="45"/>
    </row>
    <row r="47" spans="1:6">
      <c r="A47" s="39" t="s">
        <v>47</v>
      </c>
      <c r="B47" s="44" t="s">
        <v>30</v>
      </c>
      <c r="C47" s="41" t="s">
        <v>67</v>
      </c>
      <c r="D47" s="44">
        <f>IF(C47="Материальные средства подразделения в наличии, исправны, обслужены, хранятся правильно",5,0)</f>
        <v>0</v>
      </c>
    </row>
    <row r="48" spans="1:6" ht="45" customHeight="1" thickBot="1">
      <c r="A48" s="40"/>
      <c r="B48" s="45"/>
      <c r="C48" s="43"/>
      <c r="D48" s="45"/>
    </row>
    <row r="49" spans="1:5">
      <c r="A49" s="39" t="s">
        <v>48</v>
      </c>
      <c r="B49" s="44" t="s">
        <v>33</v>
      </c>
      <c r="C49" s="41" t="s">
        <v>68</v>
      </c>
      <c r="D49" s="44">
        <f>IF(C49="Оценка по физической подготовке (культуре) - 5",2,1)</f>
        <v>1</v>
      </c>
    </row>
    <row r="50" spans="1:5" ht="97.5" customHeight="1" thickBot="1">
      <c r="A50" s="40"/>
      <c r="B50" s="45"/>
      <c r="C50" s="43"/>
      <c r="D50" s="45"/>
    </row>
    <row r="51" spans="1:5" ht="15.75">
      <c r="A51" s="46" t="s">
        <v>34</v>
      </c>
      <c r="B51" s="47"/>
      <c r="C51" s="47"/>
      <c r="D51" s="50">
        <f>SUM(D7:D50)</f>
        <v>70</v>
      </c>
      <c r="E51" s="8"/>
    </row>
    <row r="52" spans="1:5" ht="16.5" thickBot="1">
      <c r="A52" s="48"/>
      <c r="B52" s="49"/>
      <c r="C52" s="49"/>
      <c r="D52" s="42"/>
      <c r="E52" s="8"/>
    </row>
    <row r="54" spans="1:5" ht="20.25">
      <c r="A54" s="37" t="s">
        <v>35</v>
      </c>
      <c r="B54" s="37"/>
      <c r="C54" s="37"/>
      <c r="D54" s="37"/>
      <c r="E54" s="37"/>
    </row>
    <row r="55" spans="1:5" ht="20.25">
      <c r="A55" s="38" t="s">
        <v>36</v>
      </c>
      <c r="B55" s="38"/>
      <c r="C55" s="38"/>
      <c r="D55" s="38"/>
      <c r="E55" s="38"/>
    </row>
    <row r="56" spans="1:5" ht="21">
      <c r="A56" s="9"/>
      <c r="B56" s="9"/>
      <c r="C56" s="5" t="s">
        <v>276</v>
      </c>
      <c r="D56" s="5"/>
      <c r="E56" s="9"/>
    </row>
  </sheetData>
  <mergeCells count="79">
    <mergeCell ref="A1:E1"/>
    <mergeCell ref="A2:E2"/>
    <mergeCell ref="A3:E3"/>
    <mergeCell ref="A4:E4"/>
    <mergeCell ref="B5:B6"/>
    <mergeCell ref="C5:C6"/>
    <mergeCell ref="D5:D6"/>
    <mergeCell ref="A7:A9"/>
    <mergeCell ref="B7:B9"/>
    <mergeCell ref="C7:C9"/>
    <mergeCell ref="D7:D9"/>
    <mergeCell ref="A10:A11"/>
    <mergeCell ref="B10:B11"/>
    <mergeCell ref="C10:C11"/>
    <mergeCell ref="D10:D11"/>
    <mergeCell ref="A12:A14"/>
    <mergeCell ref="B12:B14"/>
    <mergeCell ref="C12:C14"/>
    <mergeCell ref="D12:D14"/>
    <mergeCell ref="A15:A17"/>
    <mergeCell ref="B15:B17"/>
    <mergeCell ref="C15:C17"/>
    <mergeCell ref="D15:D17"/>
    <mergeCell ref="A18:A20"/>
    <mergeCell ref="B18:B20"/>
    <mergeCell ref="C18:C20"/>
    <mergeCell ref="D18:D20"/>
    <mergeCell ref="A21:A23"/>
    <mergeCell ref="B21:B23"/>
    <mergeCell ref="C21:C23"/>
    <mergeCell ref="D21:D23"/>
    <mergeCell ref="A24:A26"/>
    <mergeCell ref="B24:B26"/>
    <mergeCell ref="C24:C26"/>
    <mergeCell ref="D24:D26"/>
    <mergeCell ref="A27:A28"/>
    <mergeCell ref="B27:B28"/>
    <mergeCell ref="C27:C28"/>
    <mergeCell ref="D27:D28"/>
    <mergeCell ref="A29:A31"/>
    <mergeCell ref="B29:B31"/>
    <mergeCell ref="C29:C31"/>
    <mergeCell ref="D29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8"/>
    <mergeCell ref="B36:B38"/>
    <mergeCell ref="C36:C38"/>
    <mergeCell ref="D36:D38"/>
    <mergeCell ref="A39:A41"/>
    <mergeCell ref="B39:B41"/>
    <mergeCell ref="C39:C41"/>
    <mergeCell ref="D39:D41"/>
    <mergeCell ref="A42:A43"/>
    <mergeCell ref="B42:B43"/>
    <mergeCell ref="C42:C43"/>
    <mergeCell ref="D42:D43"/>
    <mergeCell ref="A44:A46"/>
    <mergeCell ref="B44:B46"/>
    <mergeCell ref="C44:C46"/>
    <mergeCell ref="D44:D46"/>
    <mergeCell ref="A47:A48"/>
    <mergeCell ref="B47:B48"/>
    <mergeCell ref="C47:C48"/>
    <mergeCell ref="D47:D48"/>
    <mergeCell ref="A54:E54"/>
    <mergeCell ref="A55:E55"/>
    <mergeCell ref="A49:A50"/>
    <mergeCell ref="B49:B50"/>
    <mergeCell ref="C49:C50"/>
    <mergeCell ref="D49:D50"/>
    <mergeCell ref="A51:C52"/>
    <mergeCell ref="D51:D52"/>
  </mergeCells>
  <dataValidations count="17">
    <dataValidation type="list" allowBlank="1" showInputMessage="1" showErrorMessage="1" sqref="C7:C9">
      <formula1>$G$7:$G$9</formula1>
    </dataValidation>
    <dataValidation type="list" allowBlank="1" showInputMessage="1" showErrorMessage="1" sqref="C10:C11">
      <formula1>"Академические задолжности отсутствуют, Имеются академические задолжности в учебной группе или у КУГ"</formula1>
    </dataValidation>
    <dataValidation type="list" allowBlank="1" showInputMessage="1" showErrorMessage="1" sqref="C12:C14">
      <formula1>"В подразделении и у КУГ отсутствуют текущие задолжности,Имеются менее 20% текущих задолжностей в подразделении или у КУГ,Имеются более 20% текущих задолжностей в подразделении или у КУГ"</formula1>
    </dataValidation>
    <dataValidation type="list" allowBlank="1" showInputMessage="1" showErrorMessage="1" sqref="C15:C17">
      <formula1>$L$15:$L$17</formula1>
    </dataValidation>
    <dataValidation type="list" allowBlank="1" showInputMessage="1" showErrorMessage="1" sqref="C21:C23">
      <formula1>"Замечания в подразделении и у КУГ отсутствуют,В подразделении 2 замечания у КУГ отсутствуют,В подразделении 3 и более замечаний или замечания у КУГ"</formula1>
    </dataValidation>
    <dataValidation type="list" allowBlank="1" showInputMessage="1" showErrorMessage="1" sqref="C24:C26">
      <formula1>"ПРО, ПРЕ, ГДП в подразделении и КУГ отсутствуют, ПРО, ПРЕ отсутствуют, имеются не снятые взыскания за ГДП в подразделении, у КУГ отсутствуют, Совершено ПРО, ПРЕ, ГДП в подразделении или КУГ или допущено сокрытие"</formula1>
    </dataValidation>
    <dataValidation type="list" allowBlank="1" showInputMessage="1" showErrorMessage="1" sqref="C27:C28">
      <formula1>"Дисциплинарная практика к подчиненному личному составу ведется,Дисциплинарная практика к подчиненному личному составу не реализуется или КУГ имеет дисциплинарные взыскания"</formula1>
    </dataValidation>
    <dataValidation type="list" allowBlank="1" showInputMessage="1" showErrorMessage="1" sqref="C29:C31">
      <formula1>"Обстановкой владеет, доклады представляет, книжка сержантов актуальна,Обстановкой владеет, доклады представляет, книжка сержантов не актуальна,Обстановкой не владеет, доклады не представляет, книжка сержантов не актуальна"</formula1>
    </dataValidation>
    <dataValidation type="list" allowBlank="1" showInputMessage="1" showErrorMessage="1" sqref="C32:C33">
      <formula1>"Подведение итогов актуально, поставлены конкретные задачи и проводится в установленное время,Подведение итогов не актуально, не поставлены задачи или не проводится"</formula1>
    </dataValidation>
    <dataValidation type="list" allowBlank="1" showInputMessage="1" showErrorMessage="1" sqref="C34:C35">
      <formula1>"Увольнения распределены равномерно,Увольнения распределяются не равномерно"</formula1>
    </dataValidation>
    <dataValidation type="list" allowBlank="1" showInputMessage="1" showErrorMessage="1" sqref="C36:C38">
      <formula1>"Наряды и уборщики распределены равномерно,Наряды распределены равномерно, уборщики не равномерно,Наряды и уборщики распределены не равномерно"</formula1>
    </dataValidation>
    <dataValidation type="list" allowBlank="1" showInputMessage="1" showErrorMessage="1" sqref="C39:C41">
      <formula1>"Замечания у подчиненного л/с отсутствуют, КУГ оценен не ниже «хорошо»,Выявлено не более 2 замечаний у подчиненного л/с, КУГ оценен не ниже «хорошо»,Л/с отстранен или выявлено более 2 замечаний, КУГ оценен ниже «хорошо»,"</formula1>
    </dataValidation>
    <dataValidation type="list" allowBlank="1" showInputMessage="1" showErrorMessage="1" sqref="C42:C43">
      <formula1>"Нарушений ТБ, приведших к травматизму л/с нет,Есть нарушения ТБ, приведших к травматизму л/с"</formula1>
    </dataValidation>
    <dataValidation type="list" allowBlank="1" showInputMessage="1" showErrorMessage="1" sqref="C44:C46">
      <formula1>"Элементы распорядка дня соблюдаются,Не более пяти нарушений распорядка дня, срывов мероприятий не допущено,Более пяти нарушений элементов распорядка дня или мероприятие сорвано"</formula1>
    </dataValidation>
    <dataValidation type="list" allowBlank="1" showInputMessage="1" showErrorMessage="1" sqref="C47:C48">
      <formula1>"Материальные средства подразделения в наличии, исправны, обслужены, хранятся правильно,Не выполнены предъявляемые критерии "</formula1>
    </dataValidation>
    <dataValidation type="list" allowBlank="1" showInputMessage="1" showErrorMessage="1" sqref="C49:C50">
      <formula1>"Оценка по физической подготовке (культуре) - 5,Оценка по физической подготовке (культуре) - 4"</formula1>
    </dataValidation>
    <dataValidation type="list" allowBlank="1" showInputMessage="1" showErrorMessage="1" sqref="C18:C20">
      <formula1>$L$18:$L$20</formula1>
    </dataValidation>
  </dataValidations>
  <pageMargins left="0.7" right="0.7" top="0.75" bottom="0.75" header="0.3" footer="0.3"/>
  <pageSetup paperSize="9" orientation="portrait" verticalDpi="0" r:id="rId1"/>
</worksheet>
</file>

<file path=xl/worksheets/sheet41.xml><?xml version="1.0" encoding="utf-8"?>
<worksheet xmlns="http://schemas.openxmlformats.org/spreadsheetml/2006/main" xmlns:r="http://schemas.openxmlformats.org/officeDocument/2006/relationships">
  <sheetPr>
    <tabColor rgb="FFFFC000"/>
  </sheetPr>
  <dimension ref="A1:U46"/>
  <sheetViews>
    <sheetView topLeftCell="A22" zoomScale="85" zoomScaleNormal="85" workbookViewId="0">
      <selection activeCell="C38" sqref="C38:C39"/>
    </sheetView>
  </sheetViews>
  <sheetFormatPr defaultRowHeight="15"/>
  <cols>
    <col min="2" max="2" width="26" customWidth="1"/>
    <col min="3" max="3" width="58.5703125" customWidth="1"/>
    <col min="4" max="4" width="28.42578125" customWidth="1"/>
    <col min="5" max="5" width="24.140625" hidden="1" customWidth="1"/>
    <col min="6" max="6" width="24" hidden="1" customWidth="1"/>
    <col min="7" max="7" width="1.85546875" hidden="1" customWidth="1"/>
    <col min="8" max="8" width="18.42578125" customWidth="1"/>
  </cols>
  <sheetData>
    <row r="1" spans="1:21" ht="20.25">
      <c r="A1" s="56" t="s">
        <v>0</v>
      </c>
      <c r="B1" s="56"/>
      <c r="C1" s="56"/>
      <c r="D1" s="56"/>
      <c r="E1" s="56"/>
    </row>
    <row r="2" spans="1:21" ht="18.75">
      <c r="A2" s="57" t="s">
        <v>1</v>
      </c>
      <c r="B2" s="57"/>
      <c r="C2" s="57"/>
      <c r="D2" s="57"/>
      <c r="E2" s="57"/>
    </row>
    <row r="3" spans="1:21" ht="18.75" customHeight="1">
      <c r="A3" s="70" t="s">
        <v>278</v>
      </c>
      <c r="B3" s="71"/>
      <c r="C3" s="71"/>
      <c r="D3" s="71"/>
      <c r="E3" s="71"/>
    </row>
    <row r="4" spans="1:21" ht="16.5" thickBot="1">
      <c r="A4" s="59"/>
      <c r="B4" s="59"/>
      <c r="C4" s="59"/>
      <c r="D4" s="59"/>
      <c r="E4" s="59"/>
    </row>
    <row r="5" spans="1:21" ht="15.75">
      <c r="A5" s="2" t="s">
        <v>3</v>
      </c>
      <c r="B5" s="60" t="s">
        <v>54</v>
      </c>
      <c r="C5" s="60" t="s">
        <v>55</v>
      </c>
      <c r="D5" s="60" t="s">
        <v>42</v>
      </c>
    </row>
    <row r="6" spans="1:21" ht="16.5" thickBot="1">
      <c r="A6" s="4" t="s">
        <v>4</v>
      </c>
      <c r="B6" s="61"/>
      <c r="C6" s="61"/>
      <c r="D6" s="61"/>
    </row>
    <row r="7" spans="1:21" ht="13.5" customHeight="1">
      <c r="A7" s="39" t="s">
        <v>5</v>
      </c>
      <c r="B7" s="44" t="s">
        <v>6</v>
      </c>
      <c r="C7" s="44" t="s">
        <v>82</v>
      </c>
      <c r="D7" s="44">
        <f>IF(IFERROR(SEARCH("подразделения ≥ 4,5", C7), 0) &gt; 0, 5, IF(IFERROR(SEARCH("подразделения ≥ 4,0", C7), 0) &gt; 0, 3, IF(IFERROR(SEARCH("&lt;", C7), 0) &gt; 0, 0,)))</f>
        <v>5</v>
      </c>
      <c r="F7">
        <v>5</v>
      </c>
      <c r="G7" s="16" t="s">
        <v>82</v>
      </c>
      <c r="N7" s="15"/>
      <c r="U7" s="15"/>
    </row>
    <row r="8" spans="1:21" ht="20.25" customHeight="1">
      <c r="A8" s="51"/>
      <c r="B8" s="54"/>
      <c r="C8" s="52"/>
      <c r="D8" s="52"/>
      <c r="F8">
        <v>3</v>
      </c>
      <c r="G8" s="17" t="s">
        <v>83</v>
      </c>
      <c r="N8" s="13"/>
      <c r="U8" s="13"/>
    </row>
    <row r="9" spans="1:21" ht="18" customHeight="1" thickBot="1">
      <c r="A9" s="40"/>
      <c r="B9" s="55"/>
      <c r="C9" s="45"/>
      <c r="D9" s="45"/>
      <c r="F9">
        <v>0</v>
      </c>
      <c r="G9" s="18" t="s">
        <v>84</v>
      </c>
    </row>
    <row r="10" spans="1:21">
      <c r="A10" s="39" t="s">
        <v>7</v>
      </c>
      <c r="B10" s="44" t="s">
        <v>8</v>
      </c>
      <c r="C10" s="44" t="s">
        <v>85</v>
      </c>
      <c r="D10" s="44">
        <f>IF(IFERROR(SEARCH("отсутствуют", C10), 0) &gt; 0, 10, IF(IFERROR(SEARCH("имеются", C10), 0) &gt; 0, 0, ))</f>
        <v>10</v>
      </c>
      <c r="F10">
        <v>10</v>
      </c>
      <c r="G10" t="s">
        <v>85</v>
      </c>
    </row>
    <row r="11" spans="1:21" ht="24.75" customHeight="1" thickBot="1">
      <c r="A11" s="40"/>
      <c r="B11" s="45"/>
      <c r="C11" s="45"/>
      <c r="D11" s="45"/>
      <c r="F11">
        <v>0</v>
      </c>
      <c r="G11" s="13" t="s">
        <v>86</v>
      </c>
    </row>
    <row r="12" spans="1:21" ht="18" customHeight="1" thickBot="1">
      <c r="A12" s="39" t="s">
        <v>9</v>
      </c>
      <c r="B12" s="44" t="s">
        <v>10</v>
      </c>
      <c r="C12" s="44" t="s">
        <v>87</v>
      </c>
      <c r="D12" s="44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>5</v>
      </c>
      <c r="F12">
        <v>5</v>
      </c>
      <c r="G12" s="14" t="s">
        <v>87</v>
      </c>
    </row>
    <row r="13" spans="1:21" ht="15.75">
      <c r="A13" s="51"/>
      <c r="B13" s="52"/>
      <c r="C13" s="52"/>
      <c r="D13" s="52"/>
      <c r="F13">
        <v>3</v>
      </c>
      <c r="G13" s="13" t="s">
        <v>88</v>
      </c>
    </row>
    <row r="14" spans="1:21" ht="16.5" thickBot="1">
      <c r="A14" s="40"/>
      <c r="B14" s="45"/>
      <c r="C14" s="45"/>
      <c r="D14" s="45"/>
      <c r="F14">
        <v>0</v>
      </c>
      <c r="G14" s="13" t="s">
        <v>89</v>
      </c>
    </row>
    <row r="15" spans="1:21" ht="15.75">
      <c r="A15" s="39" t="s">
        <v>11</v>
      </c>
      <c r="B15" s="44" t="s">
        <v>12</v>
      </c>
      <c r="C15" s="41" t="s">
        <v>90</v>
      </c>
      <c r="D15" s="44">
        <f>IF(IFERROR(SEARCH("Отсутствуют", C15), 0) &gt; 0, 5, IF(IFERROR(SEARCH("Наличие одного", C15), 0) &gt; 0, 3, IF(IFERROR(SEARCH("Наличие двух", C15), 0) &gt; 0, 0,)))</f>
        <v>5</v>
      </c>
      <c r="F15">
        <v>5</v>
      </c>
      <c r="G15" s="19" t="s">
        <v>90</v>
      </c>
    </row>
    <row r="16" spans="1:21" ht="15.75">
      <c r="A16" s="51"/>
      <c r="B16" s="52"/>
      <c r="C16" s="53"/>
      <c r="D16" s="52"/>
      <c r="F16">
        <v>3</v>
      </c>
      <c r="G16" s="13" t="s">
        <v>91</v>
      </c>
    </row>
    <row r="17" spans="1:7" ht="92.25" customHeight="1" thickBot="1">
      <c r="A17" s="40"/>
      <c r="B17" s="45"/>
      <c r="C17" s="43"/>
      <c r="D17" s="45"/>
      <c r="F17">
        <v>0</v>
      </c>
      <c r="G17" s="13" t="s">
        <v>92</v>
      </c>
    </row>
    <row r="18" spans="1:7" ht="15" customHeight="1" thickBot="1">
      <c r="A18" s="39" t="s">
        <v>13</v>
      </c>
      <c r="B18" s="44" t="s">
        <v>14</v>
      </c>
      <c r="C18" s="41" t="s">
        <v>94</v>
      </c>
      <c r="D18" s="44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>2</v>
      </c>
      <c r="F18">
        <v>10</v>
      </c>
      <c r="G18" s="13" t="s">
        <v>93</v>
      </c>
    </row>
    <row r="19" spans="1:7" ht="15" customHeight="1" thickBot="1">
      <c r="A19" s="51"/>
      <c r="B19" s="52"/>
      <c r="C19" s="53"/>
      <c r="D19" s="52"/>
      <c r="F19">
        <v>2</v>
      </c>
      <c r="G19" s="14" t="s">
        <v>94</v>
      </c>
    </row>
    <row r="20" spans="1:7" ht="57" customHeight="1" thickBot="1">
      <c r="A20" s="40"/>
      <c r="B20" s="45"/>
      <c r="C20" s="43"/>
      <c r="D20" s="45"/>
      <c r="F20">
        <v>0</v>
      </c>
      <c r="G20" s="13" t="s">
        <v>95</v>
      </c>
    </row>
    <row r="21" spans="1:7" ht="15.75">
      <c r="A21" s="39" t="s">
        <v>15</v>
      </c>
      <c r="B21" s="44" t="s">
        <v>16</v>
      </c>
      <c r="C21" s="41" t="s">
        <v>96</v>
      </c>
      <c r="D21" s="44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>5</v>
      </c>
      <c r="F21">
        <v>5</v>
      </c>
      <c r="G21" s="13" t="s">
        <v>96</v>
      </c>
    </row>
    <row r="22" spans="1:7" ht="42.75" customHeight="1" thickBot="1">
      <c r="A22" s="40"/>
      <c r="B22" s="45"/>
      <c r="C22" s="43"/>
      <c r="D22" s="45"/>
      <c r="F22">
        <v>0</v>
      </c>
      <c r="G22" s="13" t="s">
        <v>97</v>
      </c>
    </row>
    <row r="23" spans="1:7" ht="15.75">
      <c r="A23" s="39" t="s">
        <v>17</v>
      </c>
      <c r="B23" s="44" t="s">
        <v>18</v>
      </c>
      <c r="C23" s="41" t="s">
        <v>19</v>
      </c>
      <c r="D23" s="44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>10</v>
      </c>
      <c r="F23">
        <v>10</v>
      </c>
      <c r="G23" s="13" t="s">
        <v>19</v>
      </c>
    </row>
    <row r="24" spans="1:7" ht="15.75">
      <c r="A24" s="51"/>
      <c r="B24" s="52"/>
      <c r="C24" s="53"/>
      <c r="D24" s="52"/>
      <c r="F24">
        <v>5</v>
      </c>
      <c r="G24" s="13" t="s">
        <v>98</v>
      </c>
    </row>
    <row r="25" spans="1:7" ht="82.5" customHeight="1" thickBot="1">
      <c r="A25" s="40"/>
      <c r="B25" s="45"/>
      <c r="C25" s="43"/>
      <c r="D25" s="45"/>
      <c r="F25">
        <v>0</v>
      </c>
      <c r="G25" s="13" t="s">
        <v>99</v>
      </c>
    </row>
    <row r="26" spans="1:7" ht="15.75">
      <c r="A26" s="39" t="s">
        <v>20</v>
      </c>
      <c r="B26" s="44" t="s">
        <v>21</v>
      </c>
      <c r="C26" s="41" t="s">
        <v>22</v>
      </c>
      <c r="D26" s="44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>3</v>
      </c>
      <c r="F26">
        <v>3</v>
      </c>
      <c r="G26" s="13" t="s">
        <v>22</v>
      </c>
    </row>
    <row r="27" spans="1:7" ht="41.25" customHeight="1" thickBot="1">
      <c r="A27" s="40"/>
      <c r="B27" s="45"/>
      <c r="C27" s="43"/>
      <c r="D27" s="45"/>
      <c r="F27">
        <v>0</v>
      </c>
      <c r="G27" s="13" t="s">
        <v>100</v>
      </c>
    </row>
    <row r="28" spans="1:7" ht="15.75">
      <c r="A28" s="39" t="s">
        <v>23</v>
      </c>
      <c r="B28" s="44" t="s">
        <v>24</v>
      </c>
      <c r="C28" s="41" t="s">
        <v>101</v>
      </c>
      <c r="D28" s="44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>5</v>
      </c>
      <c r="F28">
        <v>5</v>
      </c>
      <c r="G28" s="13" t="s">
        <v>101</v>
      </c>
    </row>
    <row r="29" spans="1:7" ht="15.75">
      <c r="A29" s="51"/>
      <c r="B29" s="52"/>
      <c r="C29" s="53"/>
      <c r="D29" s="52"/>
      <c r="F29">
        <v>3</v>
      </c>
      <c r="G29" s="13" t="s">
        <v>102</v>
      </c>
    </row>
    <row r="30" spans="1:7" ht="61.5" customHeight="1" thickBot="1">
      <c r="A30" s="40"/>
      <c r="B30" s="45"/>
      <c r="C30" s="43"/>
      <c r="D30" s="45"/>
      <c r="F30">
        <v>0</v>
      </c>
      <c r="G30" s="13" t="s">
        <v>103</v>
      </c>
    </row>
    <row r="31" spans="1:7" ht="15.75">
      <c r="A31" s="39" t="s">
        <v>25</v>
      </c>
      <c r="B31" s="44" t="s">
        <v>26</v>
      </c>
      <c r="C31" s="41" t="s">
        <v>104</v>
      </c>
      <c r="D31" s="44">
        <f>IF(IFERROR(SEARCH("Отсутствуют нарушения ТБ", C31), 0) &gt; 0, 10, IF(IFERROR(SEARCH("Имелись нарушения ТБ", C31), 0) &gt; 0, 0, ))</f>
        <v>10</v>
      </c>
      <c r="F31">
        <v>10</v>
      </c>
      <c r="G31" s="13" t="s">
        <v>104</v>
      </c>
    </row>
    <row r="32" spans="1:7" ht="33.75" customHeight="1" thickBot="1">
      <c r="A32" s="40"/>
      <c r="B32" s="45"/>
      <c r="C32" s="43"/>
      <c r="D32" s="45"/>
      <c r="F32">
        <v>0</v>
      </c>
      <c r="G32" s="13" t="s">
        <v>105</v>
      </c>
    </row>
    <row r="33" spans="1:7" ht="15.75">
      <c r="A33" s="39" t="s">
        <v>27</v>
      </c>
      <c r="B33" s="44" t="s">
        <v>28</v>
      </c>
      <c r="C33" s="41" t="s">
        <v>52</v>
      </c>
      <c r="D33" s="44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>10</v>
      </c>
      <c r="F33">
        <v>10</v>
      </c>
      <c r="G33" s="13" t="s">
        <v>52</v>
      </c>
    </row>
    <row r="34" spans="1:7" ht="15.75">
      <c r="A34" s="51"/>
      <c r="B34" s="52"/>
      <c r="C34" s="53"/>
      <c r="D34" s="52"/>
      <c r="F34">
        <v>5</v>
      </c>
      <c r="G34" s="13" t="s">
        <v>106</v>
      </c>
    </row>
    <row r="35" spans="1:7" ht="18" customHeight="1" thickBot="1">
      <c r="A35" s="40"/>
      <c r="B35" s="45"/>
      <c r="C35" s="43"/>
      <c r="D35" s="45"/>
      <c r="F35">
        <v>0</v>
      </c>
      <c r="G35" s="13" t="s">
        <v>107</v>
      </c>
    </row>
    <row r="36" spans="1:7" ht="15.75">
      <c r="A36" s="39" t="s">
        <v>29</v>
      </c>
      <c r="B36" s="44" t="s">
        <v>30</v>
      </c>
      <c r="C36" s="41" t="s">
        <v>31</v>
      </c>
      <c r="D36" s="44">
        <f>IF(IFERROR(SEARCH("Материальные средства ", C36), 0) &gt; 0, 5, IF(IFERROR(SEARCH("Не выполнены ", C36), 0) &gt; 0, 0, ))</f>
        <v>5</v>
      </c>
      <c r="F36">
        <v>5</v>
      </c>
      <c r="G36" s="13" t="s">
        <v>31</v>
      </c>
    </row>
    <row r="37" spans="1:7" ht="45" customHeight="1" thickBot="1">
      <c r="A37" s="40"/>
      <c r="B37" s="45"/>
      <c r="C37" s="43"/>
      <c r="D37" s="45"/>
      <c r="F37">
        <v>0</v>
      </c>
      <c r="G37" s="13" t="s">
        <v>110</v>
      </c>
    </row>
    <row r="38" spans="1:7" ht="15.75">
      <c r="A38" s="39" t="s">
        <v>32</v>
      </c>
      <c r="B38" s="44" t="s">
        <v>33</v>
      </c>
      <c r="C38" s="41" t="s">
        <v>109</v>
      </c>
      <c r="D38" s="44">
        <f>IF(IFERROR(SEARCH("5", C38), 0) &gt; 0, 2, IF(IFERROR(SEARCH("4", C38), 0) &gt; 0, 1, ))</f>
        <v>1</v>
      </c>
      <c r="F38">
        <v>2</v>
      </c>
      <c r="G38" s="13" t="s">
        <v>108</v>
      </c>
    </row>
    <row r="39" spans="1:7" ht="103.5" customHeight="1" thickBot="1">
      <c r="A39" s="40"/>
      <c r="B39" s="45"/>
      <c r="C39" s="43"/>
      <c r="D39" s="45"/>
      <c r="F39">
        <v>1</v>
      </c>
      <c r="G39" s="13" t="s">
        <v>109</v>
      </c>
    </row>
    <row r="40" spans="1:7">
      <c r="A40" s="46" t="s">
        <v>34</v>
      </c>
      <c r="B40" s="47"/>
      <c r="C40" s="66"/>
      <c r="D40" s="68">
        <f>SUM(D7:D39)</f>
        <v>76</v>
      </c>
      <c r="E40" s="65"/>
    </row>
    <row r="41" spans="1:7" ht="15.75" thickBot="1">
      <c r="A41" s="48"/>
      <c r="B41" s="49"/>
      <c r="C41" s="67"/>
      <c r="D41" s="69"/>
      <c r="E41" s="65"/>
    </row>
    <row r="43" spans="1:7" ht="20.25">
      <c r="A43" s="37" t="s">
        <v>35</v>
      </c>
      <c r="B43" s="37"/>
      <c r="C43" s="37"/>
      <c r="D43" s="5"/>
      <c r="E43" s="5"/>
    </row>
    <row r="44" spans="1:7" ht="20.25">
      <c r="A44" s="37"/>
      <c r="B44" s="37"/>
      <c r="C44" s="37"/>
      <c r="D44" s="6"/>
      <c r="E44" s="6"/>
    </row>
    <row r="45" spans="1:7" ht="20.25">
      <c r="A45" s="5"/>
      <c r="B45" s="5"/>
      <c r="C45" s="5" t="s">
        <v>36</v>
      </c>
      <c r="D45" s="5"/>
      <c r="E45" s="5"/>
    </row>
    <row r="46" spans="1:7" ht="20.25">
      <c r="A46" s="5"/>
      <c r="B46" s="5"/>
      <c r="C46" s="5" t="s">
        <v>279</v>
      </c>
    </row>
  </sheetData>
  <mergeCells count="63">
    <mergeCell ref="A1:E1"/>
    <mergeCell ref="A2:E2"/>
    <mergeCell ref="A3:E3"/>
    <mergeCell ref="A4:E4"/>
    <mergeCell ref="B5:B6"/>
    <mergeCell ref="C5:C6"/>
    <mergeCell ref="D5:D6"/>
    <mergeCell ref="A7:A9"/>
    <mergeCell ref="B7:B9"/>
    <mergeCell ref="C7:C9"/>
    <mergeCell ref="D7:D9"/>
    <mergeCell ref="A10:A11"/>
    <mergeCell ref="B10:B11"/>
    <mergeCell ref="C10:C11"/>
    <mergeCell ref="D10:D11"/>
    <mergeCell ref="A12:A14"/>
    <mergeCell ref="B12:B14"/>
    <mergeCell ref="C12:C14"/>
    <mergeCell ref="D12:D14"/>
    <mergeCell ref="A15:A17"/>
    <mergeCell ref="B15:B17"/>
    <mergeCell ref="C15:C17"/>
    <mergeCell ref="D15:D17"/>
    <mergeCell ref="A18:A20"/>
    <mergeCell ref="B18:B20"/>
    <mergeCell ref="C18:C20"/>
    <mergeCell ref="D18:D20"/>
    <mergeCell ref="A21:A22"/>
    <mergeCell ref="B21:B22"/>
    <mergeCell ref="C21:C22"/>
    <mergeCell ref="D21:D22"/>
    <mergeCell ref="A23:A25"/>
    <mergeCell ref="B23:B25"/>
    <mergeCell ref="C23:C25"/>
    <mergeCell ref="D23:D25"/>
    <mergeCell ref="A26:A27"/>
    <mergeCell ref="B26:B27"/>
    <mergeCell ref="C26:C27"/>
    <mergeCell ref="D26:D27"/>
    <mergeCell ref="A28:A30"/>
    <mergeCell ref="B28:B30"/>
    <mergeCell ref="C28:C30"/>
    <mergeCell ref="D28:D30"/>
    <mergeCell ref="A31:A32"/>
    <mergeCell ref="B31:B32"/>
    <mergeCell ref="C31:C32"/>
    <mergeCell ref="D31:D32"/>
    <mergeCell ref="A33:A35"/>
    <mergeCell ref="B33:B35"/>
    <mergeCell ref="C33:C35"/>
    <mergeCell ref="D33:D35"/>
    <mergeCell ref="A36:A37"/>
    <mergeCell ref="B36:B37"/>
    <mergeCell ref="C36:C37"/>
    <mergeCell ref="D36:D37"/>
    <mergeCell ref="E40:E41"/>
    <mergeCell ref="A43:C44"/>
    <mergeCell ref="A38:A39"/>
    <mergeCell ref="B38:B39"/>
    <mergeCell ref="C38:C39"/>
    <mergeCell ref="D38:D39"/>
    <mergeCell ref="A40:C41"/>
    <mergeCell ref="D40:D41"/>
  </mergeCells>
  <dataValidations count="13">
    <dataValidation type="list" allowBlank="1" showInputMessage="1" showErrorMessage="1" sqref="C38:C39">
      <formula1>$G$38:$G$39</formula1>
    </dataValidation>
    <dataValidation type="list" allowBlank="1" showInputMessage="1" showErrorMessage="1" sqref="C36:C37">
      <formula1>$G$36:$G$37</formula1>
    </dataValidation>
    <dataValidation type="list" allowBlank="1" showInputMessage="1" showErrorMessage="1" sqref="C33:C35">
      <formula1>$G$33:$G$35</formula1>
    </dataValidation>
    <dataValidation type="list" allowBlank="1" showInputMessage="1" showErrorMessage="1" sqref="C31:C32">
      <formula1>$G$31:$G$32</formula1>
    </dataValidation>
    <dataValidation type="list" allowBlank="1" showInputMessage="1" showErrorMessage="1" sqref="C28:C30">
      <formula1>$G$28:$G$30</formula1>
    </dataValidation>
    <dataValidation type="list" allowBlank="1" showInputMessage="1" showErrorMessage="1" sqref="C26:C27">
      <formula1>$G$26:$G$27</formula1>
    </dataValidation>
    <dataValidation type="list" allowBlank="1" showInputMessage="1" showErrorMessage="1" sqref="C23:C25">
      <formula1>$G$23:$G$25</formula1>
    </dataValidation>
    <dataValidation type="list" allowBlank="1" showInputMessage="1" showErrorMessage="1" sqref="C21:C22">
      <formula1>$G$21:$G$22</formula1>
    </dataValidation>
    <dataValidation type="list" allowBlank="1" showInputMessage="1" showErrorMessage="1" sqref="C18:C20">
      <formula1>$G$18:$G$20</formula1>
    </dataValidation>
    <dataValidation type="list" allowBlank="1" showInputMessage="1" showErrorMessage="1" sqref="C15:C17">
      <formula1>$G$15:$G$17</formula1>
    </dataValidation>
    <dataValidation type="list" allowBlank="1" showInputMessage="1" showErrorMessage="1" sqref="C12:C14">
      <formula1>$G$12:$G$14</formula1>
    </dataValidation>
    <dataValidation type="list" allowBlank="1" showInputMessage="1" showErrorMessage="1" sqref="C10:C11">
      <formula1>$G$10:$G$11</formula1>
    </dataValidation>
    <dataValidation type="list" allowBlank="1" showInputMessage="1" showErrorMessage="1" sqref="C7:C9">
      <formula1>$G$7:$G$9</formula1>
    </dataValidation>
  </dataValidation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sheetPr>
    <tabColor rgb="FFFFC000"/>
  </sheetPr>
  <dimension ref="A1:U46"/>
  <sheetViews>
    <sheetView topLeftCell="A28" zoomScale="115" zoomScaleNormal="115" workbookViewId="0">
      <selection activeCell="C38" sqref="C38:C39"/>
    </sheetView>
  </sheetViews>
  <sheetFormatPr defaultRowHeight="15"/>
  <cols>
    <col min="2" max="2" width="26" customWidth="1"/>
    <col min="3" max="3" width="58.5703125" customWidth="1"/>
    <col min="4" max="4" width="28.42578125" customWidth="1"/>
    <col min="5" max="5" width="24.140625" hidden="1" customWidth="1"/>
    <col min="6" max="6" width="24" hidden="1" customWidth="1"/>
    <col min="7" max="7" width="1.85546875" hidden="1" customWidth="1"/>
    <col min="8" max="8" width="18.42578125" customWidth="1"/>
  </cols>
  <sheetData>
    <row r="1" spans="1:21" ht="20.25">
      <c r="A1" s="56" t="s">
        <v>0</v>
      </c>
      <c r="B1" s="56"/>
      <c r="C1" s="56"/>
      <c r="D1" s="56"/>
      <c r="E1" s="56"/>
    </row>
    <row r="2" spans="1:21" ht="18.75">
      <c r="A2" s="57" t="s">
        <v>1</v>
      </c>
      <c r="B2" s="57"/>
      <c r="C2" s="57"/>
      <c r="D2" s="57"/>
      <c r="E2" s="57"/>
    </row>
    <row r="3" spans="1:21" ht="18.75" customHeight="1">
      <c r="A3" s="58" t="s">
        <v>280</v>
      </c>
      <c r="B3" s="57"/>
      <c r="C3" s="57"/>
      <c r="D3" s="57"/>
      <c r="E3" s="57"/>
    </row>
    <row r="4" spans="1:21" ht="16.5" thickBot="1">
      <c r="A4" s="59"/>
      <c r="B4" s="59"/>
      <c r="C4" s="59"/>
      <c r="D4" s="59"/>
      <c r="E4" s="59"/>
    </row>
    <row r="5" spans="1:21" ht="15.75">
      <c r="A5" s="2" t="s">
        <v>3</v>
      </c>
      <c r="B5" s="60" t="s">
        <v>54</v>
      </c>
      <c r="C5" s="60" t="s">
        <v>55</v>
      </c>
      <c r="D5" s="60" t="s">
        <v>42</v>
      </c>
    </row>
    <row r="6" spans="1:21" ht="16.5" thickBot="1">
      <c r="A6" s="4" t="s">
        <v>4</v>
      </c>
      <c r="B6" s="61"/>
      <c r="C6" s="61"/>
      <c r="D6" s="61"/>
    </row>
    <row r="7" spans="1:21" ht="13.5" customHeight="1">
      <c r="A7" s="39" t="s">
        <v>5</v>
      </c>
      <c r="B7" s="44" t="s">
        <v>6</v>
      </c>
      <c r="C7" s="44" t="s">
        <v>83</v>
      </c>
      <c r="D7" s="44">
        <f>IF(IFERROR(SEARCH("подразделения ≥ 4,5", C7), 0) &gt; 0, 5, IF(IFERROR(SEARCH("подразделения ≥ 4,0", C7), 0) &gt; 0, 3, IF(IFERROR(SEARCH("&lt;", C7), 0) &gt; 0, 0,)))</f>
        <v>3</v>
      </c>
      <c r="F7">
        <v>5</v>
      </c>
      <c r="G7" s="16" t="s">
        <v>82</v>
      </c>
      <c r="N7" s="15"/>
      <c r="U7" s="15"/>
    </row>
    <row r="8" spans="1:21" ht="20.25" customHeight="1">
      <c r="A8" s="51"/>
      <c r="B8" s="54"/>
      <c r="C8" s="52"/>
      <c r="D8" s="52"/>
      <c r="F8">
        <v>3</v>
      </c>
      <c r="G8" s="17" t="s">
        <v>83</v>
      </c>
      <c r="N8" s="13"/>
      <c r="U8" s="13"/>
    </row>
    <row r="9" spans="1:21" ht="18" customHeight="1" thickBot="1">
      <c r="A9" s="40"/>
      <c r="B9" s="55"/>
      <c r="C9" s="45"/>
      <c r="D9" s="45"/>
      <c r="F9">
        <v>0</v>
      </c>
      <c r="G9" s="18" t="s">
        <v>84</v>
      </c>
    </row>
    <row r="10" spans="1:21">
      <c r="A10" s="39" t="s">
        <v>7</v>
      </c>
      <c r="B10" s="44" t="s">
        <v>8</v>
      </c>
      <c r="C10" s="44" t="s">
        <v>85</v>
      </c>
      <c r="D10" s="44">
        <f>IF(IFERROR(SEARCH("отсутствуют", C10), 0) &gt; 0, 10, IF(IFERROR(SEARCH("имеются", C10), 0) &gt; 0, 0, ))</f>
        <v>10</v>
      </c>
      <c r="F10">
        <v>10</v>
      </c>
      <c r="G10" t="s">
        <v>85</v>
      </c>
    </row>
    <row r="11" spans="1:21" ht="24.75" customHeight="1" thickBot="1">
      <c r="A11" s="40"/>
      <c r="B11" s="45"/>
      <c r="C11" s="45"/>
      <c r="D11" s="45"/>
      <c r="F11">
        <v>0</v>
      </c>
      <c r="G11" s="13" t="s">
        <v>86</v>
      </c>
    </row>
    <row r="12" spans="1:21" ht="18" customHeight="1" thickBot="1">
      <c r="A12" s="39" t="s">
        <v>9</v>
      </c>
      <c r="B12" s="44" t="s">
        <v>10</v>
      </c>
      <c r="C12" s="44" t="s">
        <v>87</v>
      </c>
      <c r="D12" s="44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>5</v>
      </c>
      <c r="F12">
        <v>5</v>
      </c>
      <c r="G12" s="14" t="s">
        <v>87</v>
      </c>
    </row>
    <row r="13" spans="1:21" ht="15.75">
      <c r="A13" s="51"/>
      <c r="B13" s="52"/>
      <c r="C13" s="52"/>
      <c r="D13" s="52"/>
      <c r="F13">
        <v>3</v>
      </c>
      <c r="G13" s="13" t="s">
        <v>88</v>
      </c>
    </row>
    <row r="14" spans="1:21" ht="16.5" thickBot="1">
      <c r="A14" s="40"/>
      <c r="B14" s="45"/>
      <c r="C14" s="45"/>
      <c r="D14" s="45"/>
      <c r="F14">
        <v>0</v>
      </c>
      <c r="G14" s="13" t="s">
        <v>89</v>
      </c>
    </row>
    <row r="15" spans="1:21" ht="15.75">
      <c r="A15" s="39" t="s">
        <v>11</v>
      </c>
      <c r="B15" s="44" t="s">
        <v>12</v>
      </c>
      <c r="C15" s="41" t="s">
        <v>90</v>
      </c>
      <c r="D15" s="44">
        <f>IF(IFERROR(SEARCH("Отсутствуют", C15), 0) &gt; 0, 5, IF(IFERROR(SEARCH("Наличие одного", C15), 0) &gt; 0, 3, IF(IFERROR(SEARCH("Наличие двух", C15), 0) &gt; 0, 0,)))</f>
        <v>5</v>
      </c>
      <c r="F15">
        <v>5</v>
      </c>
      <c r="G15" s="19" t="s">
        <v>90</v>
      </c>
    </row>
    <row r="16" spans="1:21" ht="15.75">
      <c r="A16" s="51"/>
      <c r="B16" s="52"/>
      <c r="C16" s="53"/>
      <c r="D16" s="52"/>
      <c r="F16">
        <v>3</v>
      </c>
      <c r="G16" s="13" t="s">
        <v>91</v>
      </c>
    </row>
    <row r="17" spans="1:7" ht="92.25" customHeight="1" thickBot="1">
      <c r="A17" s="40"/>
      <c r="B17" s="45"/>
      <c r="C17" s="43"/>
      <c r="D17" s="45"/>
      <c r="F17">
        <v>0</v>
      </c>
      <c r="G17" s="13" t="s">
        <v>92</v>
      </c>
    </row>
    <row r="18" spans="1:7" ht="15" customHeight="1" thickBot="1">
      <c r="A18" s="39" t="s">
        <v>13</v>
      </c>
      <c r="B18" s="44" t="s">
        <v>14</v>
      </c>
      <c r="C18" s="41" t="s">
        <v>93</v>
      </c>
      <c r="D18" s="44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>10</v>
      </c>
      <c r="F18">
        <v>10</v>
      </c>
      <c r="G18" s="13" t="s">
        <v>93</v>
      </c>
    </row>
    <row r="19" spans="1:7" ht="15" customHeight="1" thickBot="1">
      <c r="A19" s="51"/>
      <c r="B19" s="52"/>
      <c r="C19" s="53"/>
      <c r="D19" s="52"/>
      <c r="F19">
        <v>2</v>
      </c>
      <c r="G19" s="14" t="s">
        <v>94</v>
      </c>
    </row>
    <row r="20" spans="1:7" ht="57" customHeight="1" thickBot="1">
      <c r="A20" s="40"/>
      <c r="B20" s="45"/>
      <c r="C20" s="43"/>
      <c r="D20" s="45"/>
      <c r="F20">
        <v>0</v>
      </c>
      <c r="G20" s="13" t="s">
        <v>95</v>
      </c>
    </row>
    <row r="21" spans="1:7" ht="15.75">
      <c r="A21" s="39" t="s">
        <v>15</v>
      </c>
      <c r="B21" s="44" t="s">
        <v>16</v>
      </c>
      <c r="C21" s="41" t="s">
        <v>96</v>
      </c>
      <c r="D21" s="44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>5</v>
      </c>
      <c r="F21">
        <v>5</v>
      </c>
      <c r="G21" s="13" t="s">
        <v>96</v>
      </c>
    </row>
    <row r="22" spans="1:7" ht="42.75" customHeight="1" thickBot="1">
      <c r="A22" s="40"/>
      <c r="B22" s="45"/>
      <c r="C22" s="43"/>
      <c r="D22" s="45"/>
      <c r="F22">
        <v>0</v>
      </c>
      <c r="G22" s="13" t="s">
        <v>97</v>
      </c>
    </row>
    <row r="23" spans="1:7" ht="15.75">
      <c r="A23" s="39" t="s">
        <v>17</v>
      </c>
      <c r="B23" s="44" t="s">
        <v>18</v>
      </c>
      <c r="C23" s="41" t="s">
        <v>19</v>
      </c>
      <c r="D23" s="44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>10</v>
      </c>
      <c r="F23">
        <v>10</v>
      </c>
      <c r="G23" s="13" t="s">
        <v>19</v>
      </c>
    </row>
    <row r="24" spans="1:7" ht="15.75">
      <c r="A24" s="51"/>
      <c r="B24" s="52"/>
      <c r="C24" s="53"/>
      <c r="D24" s="52"/>
      <c r="F24">
        <v>5</v>
      </c>
      <c r="G24" s="13" t="s">
        <v>98</v>
      </c>
    </row>
    <row r="25" spans="1:7" ht="82.5" customHeight="1" thickBot="1">
      <c r="A25" s="40"/>
      <c r="B25" s="45"/>
      <c r="C25" s="43"/>
      <c r="D25" s="45"/>
      <c r="F25">
        <v>0</v>
      </c>
      <c r="G25" s="13" t="s">
        <v>99</v>
      </c>
    </row>
    <row r="26" spans="1:7" ht="15.75">
      <c r="A26" s="39" t="s">
        <v>20</v>
      </c>
      <c r="B26" s="44" t="s">
        <v>21</v>
      </c>
      <c r="C26" s="41" t="s">
        <v>22</v>
      </c>
      <c r="D26" s="44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>3</v>
      </c>
      <c r="F26">
        <v>3</v>
      </c>
      <c r="G26" s="13" t="s">
        <v>22</v>
      </c>
    </row>
    <row r="27" spans="1:7" ht="41.25" customHeight="1" thickBot="1">
      <c r="A27" s="40"/>
      <c r="B27" s="45"/>
      <c r="C27" s="43"/>
      <c r="D27" s="45"/>
      <c r="F27">
        <v>0</v>
      </c>
      <c r="G27" s="13" t="s">
        <v>100</v>
      </c>
    </row>
    <row r="28" spans="1:7" ht="15.75">
      <c r="A28" s="39" t="s">
        <v>23</v>
      </c>
      <c r="B28" s="44" t="s">
        <v>24</v>
      </c>
      <c r="C28" s="41" t="s">
        <v>101</v>
      </c>
      <c r="D28" s="44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>5</v>
      </c>
      <c r="F28">
        <v>5</v>
      </c>
      <c r="G28" s="13" t="s">
        <v>101</v>
      </c>
    </row>
    <row r="29" spans="1:7" ht="15.75">
      <c r="A29" s="51"/>
      <c r="B29" s="52"/>
      <c r="C29" s="53"/>
      <c r="D29" s="52"/>
      <c r="F29">
        <v>3</v>
      </c>
      <c r="G29" s="13" t="s">
        <v>102</v>
      </c>
    </row>
    <row r="30" spans="1:7" ht="61.5" customHeight="1" thickBot="1">
      <c r="A30" s="40"/>
      <c r="B30" s="45"/>
      <c r="C30" s="43"/>
      <c r="D30" s="45"/>
      <c r="F30">
        <v>0</v>
      </c>
      <c r="G30" s="13" t="s">
        <v>103</v>
      </c>
    </row>
    <row r="31" spans="1:7" ht="15.75">
      <c r="A31" s="39" t="s">
        <v>25</v>
      </c>
      <c r="B31" s="44" t="s">
        <v>26</v>
      </c>
      <c r="C31" s="41" t="s">
        <v>105</v>
      </c>
      <c r="D31" s="44">
        <f>IF(IFERROR(SEARCH("Отсутствуют нарушения ТБ", C31), 0) &gt; 0, 10, IF(IFERROR(SEARCH("Имелись нарушения ТБ", C31), 0) &gt; 0, 0, ))</f>
        <v>0</v>
      </c>
      <c r="F31">
        <v>10</v>
      </c>
      <c r="G31" s="13" t="s">
        <v>104</v>
      </c>
    </row>
    <row r="32" spans="1:7" ht="33.75" customHeight="1" thickBot="1">
      <c r="A32" s="40"/>
      <c r="B32" s="45"/>
      <c r="C32" s="43"/>
      <c r="D32" s="45"/>
      <c r="F32">
        <v>0</v>
      </c>
      <c r="G32" s="13" t="s">
        <v>105</v>
      </c>
    </row>
    <row r="33" spans="1:7" ht="15.75">
      <c r="A33" s="39" t="s">
        <v>27</v>
      </c>
      <c r="B33" s="44" t="s">
        <v>28</v>
      </c>
      <c r="C33" s="41" t="s">
        <v>52</v>
      </c>
      <c r="D33" s="44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>10</v>
      </c>
      <c r="F33">
        <v>10</v>
      </c>
      <c r="G33" s="13" t="s">
        <v>52</v>
      </c>
    </row>
    <row r="34" spans="1:7" ht="15.75">
      <c r="A34" s="51"/>
      <c r="B34" s="52"/>
      <c r="C34" s="53"/>
      <c r="D34" s="52"/>
      <c r="F34">
        <v>5</v>
      </c>
      <c r="G34" s="13" t="s">
        <v>106</v>
      </c>
    </row>
    <row r="35" spans="1:7" ht="18" customHeight="1" thickBot="1">
      <c r="A35" s="40"/>
      <c r="B35" s="45"/>
      <c r="C35" s="43"/>
      <c r="D35" s="45"/>
      <c r="F35">
        <v>0</v>
      </c>
      <c r="G35" s="13" t="s">
        <v>107</v>
      </c>
    </row>
    <row r="36" spans="1:7" ht="15.75">
      <c r="A36" s="39" t="s">
        <v>29</v>
      </c>
      <c r="B36" s="44" t="s">
        <v>30</v>
      </c>
      <c r="C36" s="41" t="s">
        <v>31</v>
      </c>
      <c r="D36" s="44">
        <f>IF(IFERROR(SEARCH("Материальные средства ", C36), 0) &gt; 0, 5, IF(IFERROR(SEARCH("Не выполнены ", C36), 0) &gt; 0, 0, ))</f>
        <v>5</v>
      </c>
      <c r="F36">
        <v>5</v>
      </c>
      <c r="G36" s="13" t="s">
        <v>31</v>
      </c>
    </row>
    <row r="37" spans="1:7" ht="45" customHeight="1" thickBot="1">
      <c r="A37" s="40"/>
      <c r="B37" s="45"/>
      <c r="C37" s="43"/>
      <c r="D37" s="45"/>
      <c r="F37">
        <v>0</v>
      </c>
      <c r="G37" s="13" t="s">
        <v>110</v>
      </c>
    </row>
    <row r="38" spans="1:7" ht="15.75">
      <c r="A38" s="39" t="s">
        <v>32</v>
      </c>
      <c r="B38" s="44" t="s">
        <v>33</v>
      </c>
      <c r="C38" s="41" t="s">
        <v>109</v>
      </c>
      <c r="D38" s="44">
        <f>IF(IFERROR(SEARCH("5", C38), 0) &gt; 0, 2, IF(IFERROR(SEARCH("4", C38), 0) &gt; 0, 1, ))</f>
        <v>1</v>
      </c>
      <c r="F38">
        <v>2</v>
      </c>
      <c r="G38" s="13" t="s">
        <v>108</v>
      </c>
    </row>
    <row r="39" spans="1:7" ht="103.5" customHeight="1" thickBot="1">
      <c r="A39" s="40"/>
      <c r="B39" s="45"/>
      <c r="C39" s="43"/>
      <c r="D39" s="45"/>
      <c r="F39">
        <v>1</v>
      </c>
      <c r="G39" s="13" t="s">
        <v>109</v>
      </c>
    </row>
    <row r="40" spans="1:7">
      <c r="A40" s="46" t="s">
        <v>34</v>
      </c>
      <c r="B40" s="47"/>
      <c r="C40" s="66"/>
      <c r="D40" s="68">
        <f>SUM(D7:D39)</f>
        <v>72</v>
      </c>
      <c r="E40" s="65"/>
    </row>
    <row r="41" spans="1:7" ht="15.75" thickBot="1">
      <c r="A41" s="48"/>
      <c r="B41" s="49"/>
      <c r="C41" s="67"/>
      <c r="D41" s="69"/>
      <c r="E41" s="65"/>
    </row>
    <row r="43" spans="1:7" ht="20.25">
      <c r="A43" s="37" t="s">
        <v>35</v>
      </c>
      <c r="B43" s="37"/>
      <c r="C43" s="37"/>
      <c r="D43" s="5"/>
      <c r="E43" s="5"/>
    </row>
    <row r="44" spans="1:7" ht="20.25">
      <c r="A44" s="37"/>
      <c r="B44" s="37"/>
      <c r="C44" s="37"/>
      <c r="D44" s="6"/>
      <c r="E44" s="6"/>
    </row>
    <row r="45" spans="1:7" ht="20.25">
      <c r="A45" s="5"/>
      <c r="B45" s="5"/>
      <c r="C45" s="5" t="s">
        <v>36</v>
      </c>
      <c r="D45" s="5"/>
      <c r="E45" s="5"/>
    </row>
    <row r="46" spans="1:7" ht="20.25">
      <c r="A46" s="5"/>
      <c r="B46" s="5"/>
      <c r="C46" s="5" t="s">
        <v>279</v>
      </c>
    </row>
  </sheetData>
  <mergeCells count="63">
    <mergeCell ref="A1:E1"/>
    <mergeCell ref="A2:E2"/>
    <mergeCell ref="A3:E3"/>
    <mergeCell ref="A4:E4"/>
    <mergeCell ref="B5:B6"/>
    <mergeCell ref="C5:C6"/>
    <mergeCell ref="D5:D6"/>
    <mergeCell ref="A7:A9"/>
    <mergeCell ref="B7:B9"/>
    <mergeCell ref="C7:C9"/>
    <mergeCell ref="D7:D9"/>
    <mergeCell ref="A10:A11"/>
    <mergeCell ref="B10:B11"/>
    <mergeCell ref="C10:C11"/>
    <mergeCell ref="D10:D11"/>
    <mergeCell ref="A12:A14"/>
    <mergeCell ref="B12:B14"/>
    <mergeCell ref="C12:C14"/>
    <mergeCell ref="D12:D14"/>
    <mergeCell ref="A15:A17"/>
    <mergeCell ref="B15:B17"/>
    <mergeCell ref="C15:C17"/>
    <mergeCell ref="D15:D17"/>
    <mergeCell ref="A18:A20"/>
    <mergeCell ref="B18:B20"/>
    <mergeCell ref="C18:C20"/>
    <mergeCell ref="D18:D20"/>
    <mergeCell ref="A21:A22"/>
    <mergeCell ref="B21:B22"/>
    <mergeCell ref="C21:C22"/>
    <mergeCell ref="D21:D22"/>
    <mergeCell ref="A23:A25"/>
    <mergeCell ref="B23:B25"/>
    <mergeCell ref="C23:C25"/>
    <mergeCell ref="D23:D25"/>
    <mergeCell ref="A26:A27"/>
    <mergeCell ref="B26:B27"/>
    <mergeCell ref="C26:C27"/>
    <mergeCell ref="D26:D27"/>
    <mergeCell ref="A28:A30"/>
    <mergeCell ref="B28:B30"/>
    <mergeCell ref="C28:C30"/>
    <mergeCell ref="D28:D30"/>
    <mergeCell ref="A31:A32"/>
    <mergeCell ref="B31:B32"/>
    <mergeCell ref="C31:C32"/>
    <mergeCell ref="D31:D32"/>
    <mergeCell ref="A33:A35"/>
    <mergeCell ref="B33:B35"/>
    <mergeCell ref="C33:C35"/>
    <mergeCell ref="D33:D35"/>
    <mergeCell ref="A36:A37"/>
    <mergeCell ref="B36:B37"/>
    <mergeCell ref="C36:C37"/>
    <mergeCell ref="D36:D37"/>
    <mergeCell ref="E40:E41"/>
    <mergeCell ref="A43:C44"/>
    <mergeCell ref="A38:A39"/>
    <mergeCell ref="B38:B39"/>
    <mergeCell ref="C38:C39"/>
    <mergeCell ref="D38:D39"/>
    <mergeCell ref="A40:C41"/>
    <mergeCell ref="D40:D41"/>
  </mergeCells>
  <dataValidations count="13">
    <dataValidation type="list" allowBlank="1" showInputMessage="1" showErrorMessage="1" sqref="C7:C9">
      <formula1>$G$7:$G$9</formula1>
    </dataValidation>
    <dataValidation type="list" allowBlank="1" showInputMessage="1" showErrorMessage="1" sqref="C10:C11">
      <formula1>$G$10:$G$11</formula1>
    </dataValidation>
    <dataValidation type="list" allowBlank="1" showInputMessage="1" showErrorMessage="1" sqref="C12:C14">
      <formula1>$G$12:$G$14</formula1>
    </dataValidation>
    <dataValidation type="list" allowBlank="1" showInputMessage="1" showErrorMessage="1" sqref="C15:C17">
      <formula1>$G$15:$G$17</formula1>
    </dataValidation>
    <dataValidation type="list" allowBlank="1" showInputMessage="1" showErrorMessage="1" sqref="C18:C20">
      <formula1>$G$18:$G$20</formula1>
    </dataValidation>
    <dataValidation type="list" allowBlank="1" showInputMessage="1" showErrorMessage="1" sqref="C21:C22">
      <formula1>$G$21:$G$22</formula1>
    </dataValidation>
    <dataValidation type="list" allowBlank="1" showInputMessage="1" showErrorMessage="1" sqref="C23:C25">
      <formula1>$G$23:$G$25</formula1>
    </dataValidation>
    <dataValidation type="list" allowBlank="1" showInputMessage="1" showErrorMessage="1" sqref="C26:C27">
      <formula1>$G$26:$G$27</formula1>
    </dataValidation>
    <dataValidation type="list" allowBlank="1" showInputMessage="1" showErrorMessage="1" sqref="C28:C30">
      <formula1>$G$28:$G$30</formula1>
    </dataValidation>
    <dataValidation type="list" allowBlank="1" showInputMessage="1" showErrorMessage="1" sqref="C31:C32">
      <formula1>$G$31:$G$32</formula1>
    </dataValidation>
    <dataValidation type="list" allowBlank="1" showInputMessage="1" showErrorMessage="1" sqref="C33:C35">
      <formula1>$G$33:$G$35</formula1>
    </dataValidation>
    <dataValidation type="list" allowBlank="1" showInputMessage="1" showErrorMessage="1" sqref="C36:C37">
      <formula1>$G$36:$G$37</formula1>
    </dataValidation>
    <dataValidation type="list" allowBlank="1" showInputMessage="1" showErrorMessage="1" sqref="C38:C39">
      <formula1>$G$38:$G$39</formula1>
    </dataValidation>
  </dataValidation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sheetPr>
    <tabColor rgb="FFFFC000"/>
  </sheetPr>
  <dimension ref="A1:L56"/>
  <sheetViews>
    <sheetView zoomScale="55" zoomScaleNormal="55" workbookViewId="0">
      <selection activeCell="G1" sqref="G1:L1048576"/>
    </sheetView>
  </sheetViews>
  <sheetFormatPr defaultRowHeight="15"/>
  <cols>
    <col min="2" max="2" width="26" customWidth="1"/>
    <col min="3" max="3" width="58.5703125" customWidth="1"/>
    <col min="4" max="4" width="28.5703125" customWidth="1"/>
    <col min="5" max="5" width="0.140625" customWidth="1"/>
    <col min="6" max="6" width="0.42578125" customWidth="1"/>
    <col min="7" max="11" width="9.140625" hidden="1" customWidth="1"/>
    <col min="12" max="12" width="12" hidden="1" customWidth="1"/>
    <col min="13" max="13" width="9.140625" customWidth="1"/>
  </cols>
  <sheetData>
    <row r="1" spans="1:12" ht="20.25">
      <c r="A1" s="56" t="s">
        <v>0</v>
      </c>
      <c r="B1" s="56"/>
      <c r="C1" s="56"/>
      <c r="D1" s="56"/>
      <c r="E1" s="56"/>
    </row>
    <row r="2" spans="1:12" ht="18.75">
      <c r="A2" s="57" t="s">
        <v>1</v>
      </c>
      <c r="B2" s="57"/>
      <c r="C2" s="57"/>
      <c r="D2" s="57"/>
      <c r="E2" s="57"/>
    </row>
    <row r="3" spans="1:12" ht="18.75" customHeight="1">
      <c r="A3" s="58" t="s">
        <v>281</v>
      </c>
      <c r="B3" s="57"/>
      <c r="C3" s="57"/>
      <c r="D3" s="57"/>
      <c r="E3" s="57"/>
    </row>
    <row r="4" spans="1:12" ht="16.5" thickBot="1">
      <c r="A4" s="59"/>
      <c r="B4" s="59"/>
      <c r="C4" s="59"/>
      <c r="D4" s="59"/>
      <c r="E4" s="59"/>
    </row>
    <row r="5" spans="1:12" ht="15.75" customHeight="1">
      <c r="A5" s="2" t="s">
        <v>3</v>
      </c>
      <c r="B5" s="60" t="s">
        <v>54</v>
      </c>
      <c r="C5" s="60" t="s">
        <v>55</v>
      </c>
      <c r="D5" s="60" t="s">
        <v>42</v>
      </c>
    </row>
    <row r="6" spans="1:12" ht="16.5" thickBot="1">
      <c r="A6" s="4" t="s">
        <v>4</v>
      </c>
      <c r="B6" s="61"/>
      <c r="C6" s="61"/>
      <c r="D6" s="61"/>
    </row>
    <row r="7" spans="1:12" ht="15" customHeight="1">
      <c r="A7" s="39" t="s">
        <v>5</v>
      </c>
      <c r="B7" s="44" t="s">
        <v>6</v>
      </c>
      <c r="C7" s="44" t="s">
        <v>343</v>
      </c>
      <c r="D7" s="44">
        <f>IF(IFERROR(SEARCH("подразделения ≥ 4,5", C7), 0) &gt; 0, 5, IF(IFERROR(SEARCH("подразделения ≥ 4,0", C7), 0) &gt; 0, 3, IF(IFERROR(SEARCH("&lt;", C7), 0) &gt; 0, 0,)))</f>
        <v>3</v>
      </c>
      <c r="F7">
        <v>5</v>
      </c>
      <c r="G7" s="16" t="s">
        <v>344</v>
      </c>
    </row>
    <row r="8" spans="1:12" ht="15" customHeight="1">
      <c r="A8" s="51"/>
      <c r="B8" s="54"/>
      <c r="C8" s="52"/>
      <c r="D8" s="52"/>
      <c r="F8">
        <v>3</v>
      </c>
      <c r="G8" s="17" t="s">
        <v>343</v>
      </c>
    </row>
    <row r="9" spans="1:12" ht="18.75" customHeight="1" thickBot="1">
      <c r="A9" s="40"/>
      <c r="B9" s="55"/>
      <c r="C9" s="45"/>
      <c r="D9" s="45"/>
      <c r="F9">
        <v>0</v>
      </c>
      <c r="G9" s="18" t="s">
        <v>345</v>
      </c>
    </row>
    <row r="10" spans="1:12" ht="15" customHeight="1">
      <c r="A10" s="39" t="s">
        <v>7</v>
      </c>
      <c r="B10" s="44" t="s">
        <v>8</v>
      </c>
      <c r="C10" s="44" t="s">
        <v>259</v>
      </c>
      <c r="D10" s="44">
        <f>IF(C10="Академические задолжности отсутствуют",10,0)</f>
        <v>10</v>
      </c>
      <c r="F10">
        <v>10</v>
      </c>
    </row>
    <row r="11" spans="1:12" ht="15.75" customHeight="1" thickBot="1">
      <c r="A11" s="40"/>
      <c r="B11" s="45"/>
      <c r="C11" s="45"/>
      <c r="D11" s="45"/>
      <c r="F11">
        <v>0</v>
      </c>
    </row>
    <row r="12" spans="1:12" ht="15" customHeight="1">
      <c r="A12" s="39" t="s">
        <v>9</v>
      </c>
      <c r="B12" s="44" t="s">
        <v>10</v>
      </c>
      <c r="C12" s="44" t="s">
        <v>72</v>
      </c>
      <c r="D12" s="44">
        <f>IF(C12="В подразделении и у КУГ отсутствуют текущие задолжности",5,IF(C12="Имеются менее 20% текущих задолжностей в подразделении или у КУГ",3,IF(C12="Имеются более 20% текущих задолжностей в подразделении или у КУГ",0,)))</f>
        <v>3</v>
      </c>
      <c r="F12">
        <v>5</v>
      </c>
    </row>
    <row r="13" spans="1:12" ht="15" customHeight="1">
      <c r="A13" s="51"/>
      <c r="B13" s="52"/>
      <c r="C13" s="52"/>
      <c r="D13" s="52"/>
      <c r="F13">
        <v>3</v>
      </c>
    </row>
    <row r="14" spans="1:12" ht="15.75" customHeight="1" thickBot="1">
      <c r="A14" s="40"/>
      <c r="B14" s="45"/>
      <c r="C14" s="45"/>
      <c r="D14" s="45"/>
      <c r="F14">
        <v>0</v>
      </c>
    </row>
    <row r="15" spans="1:12" ht="15" customHeight="1">
      <c r="A15" s="39" t="s">
        <v>11</v>
      </c>
      <c r="B15" s="44" t="s">
        <v>39</v>
      </c>
      <c r="C15" s="64" t="s">
        <v>77</v>
      </c>
      <c r="D15" s="44">
        <f>IF(C15="Подразделение прибыло на занятие своевременно; дежурный по аудитории назначен; ЖУУЗ и классная доска оформлены; литература, конспекты, ПЭВМ (по необходимости) получены; внутренний порядок в аудитории поддерживается",5,IF(C15="Подразделение прибыло на занятие своевременно; дежурный по аудитории назначен; литература, конспекты, ПЭВМ (по необходимости) получены; ЖУУЗ или классная доска оформлены не своевременно; или имеются отклонения по  внутреннему порядку в аудитории",3,IF(C15="одразделение опоздало на занятие; или ЖУУЗ и классная доска не оформлены; литература, конспекты, ПЭВМ (по необходимости) не получены; или внутренний порядок в аудитории не поддерживается ",0,)))</f>
        <v>3</v>
      </c>
      <c r="F15">
        <v>5</v>
      </c>
      <c r="L15" s="13" t="s">
        <v>40</v>
      </c>
    </row>
    <row r="16" spans="1:12" ht="15" customHeight="1">
      <c r="A16" s="51"/>
      <c r="B16" s="52"/>
      <c r="C16" s="62"/>
      <c r="D16" s="52"/>
      <c r="F16">
        <v>3</v>
      </c>
      <c r="L16" s="13" t="s">
        <v>77</v>
      </c>
    </row>
    <row r="17" spans="1:12" ht="52.5" customHeight="1" thickBot="1">
      <c r="A17" s="40"/>
      <c r="B17" s="45"/>
      <c r="C17" s="63"/>
      <c r="D17" s="45"/>
      <c r="F17">
        <v>0</v>
      </c>
      <c r="L17" t="s">
        <v>78</v>
      </c>
    </row>
    <row r="18" spans="1:12" ht="15" customHeight="1" thickBot="1">
      <c r="A18" s="39" t="s">
        <v>13</v>
      </c>
      <c r="B18" s="44" t="s">
        <v>41</v>
      </c>
      <c r="C18" s="64" t="s">
        <v>79</v>
      </c>
      <c r="D18" s="44">
        <f>IF(IFERROR(SEARCH("30%", C18), 0) &gt; 0, 5, IF(IFERROR(SEARCH("10%", C18), 0) &gt; 0, 3, IF(IFERROR(SEARCH("не получены", C18), 0) &gt; 0, 0,)))</f>
        <v>5</v>
      </c>
      <c r="F18">
        <v>10</v>
      </c>
      <c r="L18" s="14" t="s">
        <v>79</v>
      </c>
    </row>
    <row r="19" spans="1:12" ht="15" customHeight="1">
      <c r="A19" s="51"/>
      <c r="B19" s="52"/>
      <c r="C19" s="62"/>
      <c r="D19" s="52"/>
      <c r="F19">
        <v>2</v>
      </c>
      <c r="L19" s="13" t="s">
        <v>80</v>
      </c>
    </row>
    <row r="20" spans="1:12" ht="105" customHeight="1" thickBot="1">
      <c r="A20" s="40"/>
      <c r="B20" s="45"/>
      <c r="C20" s="63"/>
      <c r="D20" s="45"/>
      <c r="F20">
        <v>0</v>
      </c>
      <c r="L20" s="13" t="s">
        <v>81</v>
      </c>
    </row>
    <row r="21" spans="1:12" ht="15" customHeight="1">
      <c r="A21" s="39" t="s">
        <v>15</v>
      </c>
      <c r="B21" s="44" t="s">
        <v>12</v>
      </c>
      <c r="C21" s="41" t="s">
        <v>261</v>
      </c>
      <c r="D21" s="44">
        <f>IF(C21="Замечания в подразделении и у КУГ отсутствуют",5,IF(C21="В подразделении 2 замечания у КУГ отсутствуют",3,IF(C21="В подразделении 3 и более замечаний или замечания у КУГ",0,)))</f>
        <v>3</v>
      </c>
      <c r="F21">
        <v>5</v>
      </c>
    </row>
    <row r="22" spans="1:12" ht="15.75" customHeight="1">
      <c r="A22" s="51"/>
      <c r="B22" s="52"/>
      <c r="C22" s="53"/>
      <c r="D22" s="52"/>
      <c r="F22">
        <v>0</v>
      </c>
    </row>
    <row r="23" spans="1:12" ht="82.5" customHeight="1" thickBot="1">
      <c r="A23" s="40"/>
      <c r="B23" s="45"/>
      <c r="C23" s="43"/>
      <c r="D23" s="45"/>
      <c r="F23">
        <v>10</v>
      </c>
    </row>
    <row r="24" spans="1:12" ht="15" customHeight="1">
      <c r="A24" s="39" t="s">
        <v>17</v>
      </c>
      <c r="B24" s="44" t="s">
        <v>14</v>
      </c>
      <c r="C24" s="41" t="s">
        <v>262</v>
      </c>
      <c r="D24" s="44">
        <f>IF(C24="ПРО, ПРЕ, ГДП в подразделении и КУГ отсутствуют",10,IF(C24="ПРО, ПРЕ отсутствуют, имеются не снятые взыскания за ГДП в подразделении, у КУГ отсутствуют",2,IF(C24="Совершено ПРО, ПРЕ, ГДП в подразделении или КУГ или допущено сокрытие",0,)))</f>
        <v>10</v>
      </c>
      <c r="F24">
        <v>5</v>
      </c>
    </row>
    <row r="25" spans="1:12" ht="15.75" customHeight="1">
      <c r="A25" s="51"/>
      <c r="B25" s="52"/>
      <c r="C25" s="53"/>
      <c r="D25" s="52"/>
      <c r="F25">
        <v>0</v>
      </c>
    </row>
    <row r="26" spans="1:12" ht="52.5" customHeight="1" thickBot="1">
      <c r="A26" s="40"/>
      <c r="B26" s="45"/>
      <c r="C26" s="43"/>
      <c r="D26" s="45"/>
      <c r="F26">
        <v>3</v>
      </c>
    </row>
    <row r="27" spans="1:12" ht="15.75" customHeight="1">
      <c r="A27" s="39" t="s">
        <v>20</v>
      </c>
      <c r="B27" s="44" t="s">
        <v>16</v>
      </c>
      <c r="C27" s="41" t="s">
        <v>57</v>
      </c>
      <c r="D27" s="44">
        <f>IF(C27="Дисциплинарная практика к подчиненному личному составу ведется",5,0)</f>
        <v>5</v>
      </c>
      <c r="F27">
        <v>0</v>
      </c>
    </row>
    <row r="28" spans="1:12" ht="15" customHeight="1" thickBot="1">
      <c r="A28" s="40"/>
      <c r="B28" s="45"/>
      <c r="C28" s="43"/>
      <c r="D28" s="45"/>
      <c r="F28">
        <v>5</v>
      </c>
    </row>
    <row r="29" spans="1:12" ht="15" customHeight="1">
      <c r="A29" s="39" t="s">
        <v>23</v>
      </c>
      <c r="B29" s="44" t="s">
        <v>18</v>
      </c>
      <c r="C29" s="41" t="s">
        <v>60</v>
      </c>
      <c r="D29" s="44">
        <f>IF(C29="Обстановкой владеет, доклады представляет, книжка сержантов актуальна",10,IF(C29="Обстановкой владеет, доклады представляет, книжка сержантов не актуальна",5,IF(C29="Обстановкой не владеет, доклады не представляет, книжка сержантов не актуальна",0,)))</f>
        <v>10</v>
      </c>
      <c r="F29">
        <v>3</v>
      </c>
    </row>
    <row r="30" spans="1:12" ht="15.75" customHeight="1">
      <c r="A30" s="51"/>
      <c r="B30" s="52"/>
      <c r="C30" s="53"/>
      <c r="D30" s="52"/>
      <c r="F30">
        <v>0</v>
      </c>
    </row>
    <row r="31" spans="1:12" ht="105" customHeight="1" thickBot="1">
      <c r="A31" s="40"/>
      <c r="B31" s="45"/>
      <c r="C31" s="43"/>
      <c r="D31" s="45"/>
      <c r="F31">
        <v>10</v>
      </c>
    </row>
    <row r="32" spans="1:12" ht="26.25" customHeight="1">
      <c r="A32" s="39" t="s">
        <v>25</v>
      </c>
      <c r="B32" s="44" t="s">
        <v>21</v>
      </c>
      <c r="C32" s="41" t="s">
        <v>75</v>
      </c>
      <c r="D32" s="44">
        <f>IF(C32="Подведение итогов актуально, поставлены конкретные задачи и проводится в установленное время",3,0)</f>
        <v>3</v>
      </c>
      <c r="F32">
        <v>0</v>
      </c>
    </row>
    <row r="33" spans="1:6" ht="30" customHeight="1" thickBot="1">
      <c r="A33" s="40"/>
      <c r="B33" s="45"/>
      <c r="C33" s="43"/>
      <c r="D33" s="45"/>
      <c r="F33">
        <v>10</v>
      </c>
    </row>
    <row r="34" spans="1:6" ht="15" customHeight="1">
      <c r="A34" s="51" t="s">
        <v>27</v>
      </c>
      <c r="B34" s="52" t="s">
        <v>43</v>
      </c>
      <c r="C34" s="41" t="s">
        <v>263</v>
      </c>
      <c r="D34" s="62">
        <f>IF(C34="Увольнения распределены равномерно",2,0)</f>
        <v>2</v>
      </c>
      <c r="F34">
        <v>5</v>
      </c>
    </row>
    <row r="35" spans="1:6" ht="15.75" customHeight="1" thickBot="1">
      <c r="A35" s="40"/>
      <c r="B35" s="45"/>
      <c r="C35" s="43"/>
      <c r="D35" s="63"/>
      <c r="F35">
        <v>0</v>
      </c>
    </row>
    <row r="36" spans="1:6" ht="15" customHeight="1">
      <c r="A36" s="39" t="s">
        <v>29</v>
      </c>
      <c r="B36" s="44" t="s">
        <v>44</v>
      </c>
      <c r="C36" s="44" t="s">
        <v>61</v>
      </c>
      <c r="D36" s="64">
        <f>IF(C36="Наряды и уборщики распределены равномерно",2,IF(C36="Наряды распределены равномерно, уборщики не равномерно",1,IF(C36="Наряды и уборщики распределены не равномерно",0,)))</f>
        <v>2</v>
      </c>
      <c r="F36">
        <v>5</v>
      </c>
    </row>
    <row r="37" spans="1:6" ht="15.75" customHeight="1">
      <c r="A37" s="51"/>
      <c r="B37" s="52"/>
      <c r="C37" s="52"/>
      <c r="D37" s="62"/>
      <c r="F37">
        <v>0</v>
      </c>
    </row>
    <row r="38" spans="1:6" ht="38.25" customHeight="1" thickBot="1">
      <c r="A38" s="40"/>
      <c r="B38" s="45"/>
      <c r="C38" s="45"/>
      <c r="D38" s="63"/>
      <c r="F38">
        <v>2</v>
      </c>
    </row>
    <row r="39" spans="1:6" ht="15.75" customHeight="1">
      <c r="A39" s="39" t="s">
        <v>32</v>
      </c>
      <c r="B39" s="44" t="s">
        <v>24</v>
      </c>
      <c r="C39" s="41" t="s">
        <v>336</v>
      </c>
      <c r="D39" s="44">
        <f>IF(C39="Замечания у подчиненного л/с отсутствуют, КУГ оценен не ниже «хорошо»",5,IF(C39="Выявлено не более 2 замечаний у подчиненного л/с, КУГ оценен не ниже «хорошо»",3,IF(C39="Л/с отстранен или выявлено более 2 замечаний, КУГ оценен ниже «хорошо»",0,)))</f>
        <v>3</v>
      </c>
      <c r="F39">
        <v>1</v>
      </c>
    </row>
    <row r="40" spans="1:6" ht="15" customHeight="1">
      <c r="A40" s="51"/>
      <c r="B40" s="52"/>
      <c r="C40" s="53"/>
      <c r="D40" s="52"/>
    </row>
    <row r="41" spans="1:6" ht="40.5" customHeight="1" thickBot="1">
      <c r="A41" s="40"/>
      <c r="B41" s="45"/>
      <c r="C41" s="43"/>
      <c r="D41" s="45"/>
    </row>
    <row r="42" spans="1:6">
      <c r="A42" s="39" t="s">
        <v>45</v>
      </c>
      <c r="B42" s="44" t="s">
        <v>26</v>
      </c>
      <c r="C42" s="41" t="s">
        <v>65</v>
      </c>
      <c r="D42" s="44">
        <f>IF(C42="Нарушений ТБ, приведших к травматизму л/с нет",10,0)</f>
        <v>10</v>
      </c>
    </row>
    <row r="43" spans="1:6" ht="44.25" customHeight="1" thickBot="1">
      <c r="A43" s="40"/>
      <c r="B43" s="45"/>
      <c r="C43" s="43"/>
      <c r="D43" s="45"/>
    </row>
    <row r="44" spans="1:6">
      <c r="A44" s="39" t="s">
        <v>46</v>
      </c>
      <c r="B44" s="44" t="s">
        <v>28</v>
      </c>
      <c r="C44" s="41" t="s">
        <v>52</v>
      </c>
      <c r="D44" s="44">
        <f>IF(C44="Элементы распорядка дня соблюдаются",10,IF(C44="Не более пяти нарушений распорядка дня, срывов мероприятий не допущено",5,IF(C44="Более пяти нарушений элементов распорядка дня или мероприятие сорвано",0,)))</f>
        <v>10</v>
      </c>
    </row>
    <row r="45" spans="1:6">
      <c r="A45" s="51"/>
      <c r="B45" s="52"/>
      <c r="C45" s="53"/>
      <c r="D45" s="52"/>
    </row>
    <row r="46" spans="1:6" ht="15.75" thickBot="1">
      <c r="A46" s="40"/>
      <c r="B46" s="45"/>
      <c r="C46" s="43"/>
      <c r="D46" s="45"/>
    </row>
    <row r="47" spans="1:6">
      <c r="A47" s="39" t="s">
        <v>47</v>
      </c>
      <c r="B47" s="44" t="s">
        <v>30</v>
      </c>
      <c r="C47" s="41" t="s">
        <v>31</v>
      </c>
      <c r="D47" s="44">
        <f>IF(C47="Материальные средства подразделения в наличии, исправны, обслужены, хранятся правильно",5,0)</f>
        <v>5</v>
      </c>
    </row>
    <row r="48" spans="1:6" ht="45" customHeight="1" thickBot="1">
      <c r="A48" s="40"/>
      <c r="B48" s="45"/>
      <c r="C48" s="43"/>
      <c r="D48" s="45"/>
    </row>
    <row r="49" spans="1:5">
      <c r="A49" s="39" t="s">
        <v>48</v>
      </c>
      <c r="B49" s="44" t="s">
        <v>33</v>
      </c>
      <c r="C49" s="41" t="s">
        <v>49</v>
      </c>
      <c r="D49" s="44">
        <f>IF(C49="Оценка по физической подготовке (культуре) - 5",2,1)</f>
        <v>2</v>
      </c>
    </row>
    <row r="50" spans="1:5" ht="97.5" customHeight="1" thickBot="1">
      <c r="A50" s="40"/>
      <c r="B50" s="45"/>
      <c r="C50" s="43"/>
      <c r="D50" s="45"/>
    </row>
    <row r="51" spans="1:5" ht="15.75">
      <c r="A51" s="46" t="s">
        <v>34</v>
      </c>
      <c r="B51" s="47"/>
      <c r="C51" s="47"/>
      <c r="D51" s="50">
        <f>SUM(D7:D50)</f>
        <v>89</v>
      </c>
      <c r="E51" s="8"/>
    </row>
    <row r="52" spans="1:5" ht="16.5" thickBot="1">
      <c r="A52" s="48"/>
      <c r="B52" s="49"/>
      <c r="C52" s="49"/>
      <c r="D52" s="42"/>
      <c r="E52" s="8"/>
    </row>
    <row r="54" spans="1:5" ht="20.25">
      <c r="A54" s="37" t="s">
        <v>35</v>
      </c>
      <c r="B54" s="37"/>
      <c r="C54" s="37"/>
      <c r="D54" s="37"/>
      <c r="E54" s="37"/>
    </row>
    <row r="55" spans="1:5" ht="20.25">
      <c r="A55" s="38" t="s">
        <v>36</v>
      </c>
      <c r="B55" s="38"/>
      <c r="C55" s="38"/>
      <c r="D55" s="38"/>
      <c r="E55" s="38"/>
    </row>
    <row r="56" spans="1:5" ht="21">
      <c r="A56" s="9"/>
      <c r="B56" s="9"/>
      <c r="C56" s="5" t="s">
        <v>276</v>
      </c>
      <c r="D56" s="5"/>
      <c r="E56" s="9"/>
    </row>
  </sheetData>
  <mergeCells count="79">
    <mergeCell ref="A1:E1"/>
    <mergeCell ref="A2:E2"/>
    <mergeCell ref="A3:E3"/>
    <mergeCell ref="A4:E4"/>
    <mergeCell ref="B5:B6"/>
    <mergeCell ref="C5:C6"/>
    <mergeCell ref="D5:D6"/>
    <mergeCell ref="A7:A9"/>
    <mergeCell ref="B7:B9"/>
    <mergeCell ref="C7:C9"/>
    <mergeCell ref="D7:D9"/>
    <mergeCell ref="A10:A11"/>
    <mergeCell ref="B10:B11"/>
    <mergeCell ref="C10:C11"/>
    <mergeCell ref="D10:D11"/>
    <mergeCell ref="A12:A14"/>
    <mergeCell ref="B12:B14"/>
    <mergeCell ref="C12:C14"/>
    <mergeCell ref="D12:D14"/>
    <mergeCell ref="A15:A17"/>
    <mergeCell ref="B15:B17"/>
    <mergeCell ref="C15:C17"/>
    <mergeCell ref="D15:D17"/>
    <mergeCell ref="A18:A20"/>
    <mergeCell ref="B18:B20"/>
    <mergeCell ref="C18:C20"/>
    <mergeCell ref="D18:D20"/>
    <mergeCell ref="A21:A23"/>
    <mergeCell ref="B21:B23"/>
    <mergeCell ref="C21:C23"/>
    <mergeCell ref="D21:D23"/>
    <mergeCell ref="A24:A26"/>
    <mergeCell ref="B24:B26"/>
    <mergeCell ref="C24:C26"/>
    <mergeCell ref="D24:D26"/>
    <mergeCell ref="A27:A28"/>
    <mergeCell ref="B27:B28"/>
    <mergeCell ref="C27:C28"/>
    <mergeCell ref="D27:D28"/>
    <mergeCell ref="A29:A31"/>
    <mergeCell ref="B29:B31"/>
    <mergeCell ref="C29:C31"/>
    <mergeCell ref="D29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8"/>
    <mergeCell ref="B36:B38"/>
    <mergeCell ref="C36:C38"/>
    <mergeCell ref="D36:D38"/>
    <mergeCell ref="A39:A41"/>
    <mergeCell ref="B39:B41"/>
    <mergeCell ref="C39:C41"/>
    <mergeCell ref="D39:D41"/>
    <mergeCell ref="A42:A43"/>
    <mergeCell ref="B42:B43"/>
    <mergeCell ref="C42:C43"/>
    <mergeCell ref="D42:D43"/>
    <mergeCell ref="A44:A46"/>
    <mergeCell ref="B44:B46"/>
    <mergeCell ref="C44:C46"/>
    <mergeCell ref="D44:D46"/>
    <mergeCell ref="A47:A48"/>
    <mergeCell ref="B47:B48"/>
    <mergeCell ref="C47:C48"/>
    <mergeCell ref="D47:D48"/>
    <mergeCell ref="A54:E54"/>
    <mergeCell ref="A55:E55"/>
    <mergeCell ref="A49:A50"/>
    <mergeCell ref="B49:B50"/>
    <mergeCell ref="C49:C50"/>
    <mergeCell ref="D49:D50"/>
    <mergeCell ref="A51:C52"/>
    <mergeCell ref="D51:D52"/>
  </mergeCells>
  <dataValidations count="17">
    <dataValidation type="list" allowBlank="1" showInputMessage="1" showErrorMessage="1" sqref="C18:C20">
      <formula1>$L$18:$L$20</formula1>
    </dataValidation>
    <dataValidation type="list" allowBlank="1" showInputMessage="1" showErrorMessage="1" sqref="C49:C50">
      <formula1>"Оценка по физической подготовке (культуре) - 5,Оценка по физической подготовке (культуре) - 4"</formula1>
    </dataValidation>
    <dataValidation type="list" allowBlank="1" showInputMessage="1" showErrorMessage="1" sqref="C47:C48">
      <formula1>"Материальные средства подразделения в наличии, исправны, обслужены, хранятся правильно,Не выполнены предъявляемые критерии "</formula1>
    </dataValidation>
    <dataValidation type="list" allowBlank="1" showInputMessage="1" showErrorMessage="1" sqref="C44:C46">
      <formula1>"Элементы распорядка дня соблюдаются,Не более пяти нарушений распорядка дня, срывов мероприятий не допущено,Более пяти нарушений элементов распорядка дня или мероприятие сорвано"</formula1>
    </dataValidation>
    <dataValidation type="list" allowBlank="1" showInputMessage="1" showErrorMessage="1" sqref="C42:C43">
      <formula1>"Нарушений ТБ, приведших к травматизму л/с нет,Есть нарушения ТБ, приведших к травматизму л/с"</formula1>
    </dataValidation>
    <dataValidation type="list" allowBlank="1" showInputMessage="1" showErrorMessage="1" sqref="C39:C41">
      <formula1>"Замечания у подчиненного л/с отсутствуют, КУГ оценен не ниже «хорошо»,Выявлено не более 2 замечаний у подчиненного л/с, КУГ оценен не ниже «хорошо»,Л/с отстранен или выявлено более 2 замечаний, КУГ оценен ниже «хорошо»,"</formula1>
    </dataValidation>
    <dataValidation type="list" allowBlank="1" showInputMessage="1" showErrorMessage="1" sqref="C36:C38">
      <formula1>"Наряды и уборщики распределены равномерно,Наряды распределены равномерно, уборщики не равномерно,Наряды и уборщики распределены не равномерно"</formula1>
    </dataValidation>
    <dataValidation type="list" allowBlank="1" showInputMessage="1" showErrorMessage="1" sqref="C34:C35">
      <formula1>"Увольнения распределены равномерно,Увольнения распределяются не равномерно"</formula1>
    </dataValidation>
    <dataValidation type="list" allowBlank="1" showInputMessage="1" showErrorMessage="1" sqref="C32:C33">
      <formula1>"Подведение итогов актуально, поставлены конкретные задачи и проводится в установленное время,Подведение итогов не актуально, не поставлены задачи или не проводится"</formula1>
    </dataValidation>
    <dataValidation type="list" allowBlank="1" showInputMessage="1" showErrorMessage="1" sqref="C29:C31">
      <formula1>"Обстановкой владеет, доклады представляет, книжка сержантов актуальна,Обстановкой владеет, доклады представляет, книжка сержантов не актуальна,Обстановкой не владеет, доклады не представляет, книжка сержантов не актуальна"</formula1>
    </dataValidation>
    <dataValidation type="list" allowBlank="1" showInputMessage="1" showErrorMessage="1" sqref="C27:C28">
      <formula1>"Дисциплинарная практика к подчиненному личному составу ведется,Дисциплинарная практика к подчиненному личному составу не реализуется или КУГ имеет дисциплинарные взыскания"</formula1>
    </dataValidation>
    <dataValidation type="list" allowBlank="1" showInputMessage="1" showErrorMessage="1" sqref="C24:C26">
      <formula1>"ПРО, ПРЕ, ГДП в подразделении и КУГ отсутствуют, ПРО, ПРЕ отсутствуют, имеются не снятые взыскания за ГДП в подразделении, у КУГ отсутствуют, Совершено ПРО, ПРЕ, ГДП в подразделении или КУГ или допущено сокрытие"</formula1>
    </dataValidation>
    <dataValidation type="list" allowBlank="1" showInputMessage="1" showErrorMessage="1" sqref="C21:C23">
      <formula1>"Замечания в подразделении и у КУГ отсутствуют,В подразделении 2 замечания у КУГ отсутствуют,В подразделении 3 и более замечаний или замечания у КУГ"</formula1>
    </dataValidation>
    <dataValidation type="list" allowBlank="1" showInputMessage="1" showErrorMessage="1" sqref="C15:C17">
      <formula1>$L$15:$L$17</formula1>
    </dataValidation>
    <dataValidation type="list" allowBlank="1" showInputMessage="1" showErrorMessage="1" sqref="C12:C14">
      <formula1>"В подразделении и у КУГ отсутствуют текущие задолжности,Имеются менее 20% текущих задолжностей в подразделении или у КУГ,Имеются более 20% текущих задолжностей в подразделении или у КУГ"</formula1>
    </dataValidation>
    <dataValidation type="list" allowBlank="1" showInputMessage="1" showErrorMessage="1" sqref="C10:C11">
      <formula1>"Академические задолжности отсутствуют, Имеются академические задолжности в учебной группе или у КУГ"</formula1>
    </dataValidation>
    <dataValidation type="list" allowBlank="1" showInputMessage="1" showErrorMessage="1" sqref="C7:C9">
      <formula1>$G$7:$G$9</formula1>
    </dataValidation>
  </dataValidations>
  <pageMargins left="0.7" right="0.7" top="0.75" bottom="0.75" header="0.3" footer="0.3"/>
  <pageSetup paperSize="9" orientation="portrait" verticalDpi="0" r:id="rId1"/>
</worksheet>
</file>

<file path=xl/worksheets/sheet44.xml><?xml version="1.0" encoding="utf-8"?>
<worksheet xmlns="http://schemas.openxmlformats.org/spreadsheetml/2006/main" xmlns:r="http://schemas.openxmlformats.org/officeDocument/2006/relationships">
  <sheetPr>
    <tabColor rgb="FFFFC000"/>
  </sheetPr>
  <dimension ref="A1:U46"/>
  <sheetViews>
    <sheetView topLeftCell="A10" zoomScale="55" zoomScaleNormal="55" workbookViewId="0">
      <selection activeCell="C33" sqref="C33:C35"/>
    </sheetView>
  </sheetViews>
  <sheetFormatPr defaultRowHeight="15"/>
  <cols>
    <col min="2" max="2" width="26" customWidth="1"/>
    <col min="3" max="3" width="58.5703125" customWidth="1"/>
    <col min="4" max="4" width="28.42578125" customWidth="1"/>
    <col min="5" max="5" width="24.140625" hidden="1" customWidth="1"/>
    <col min="6" max="6" width="24" hidden="1" customWidth="1"/>
    <col min="7" max="7" width="1.85546875" hidden="1" customWidth="1"/>
    <col min="8" max="8" width="18.42578125" customWidth="1"/>
  </cols>
  <sheetData>
    <row r="1" spans="1:21" ht="20.25">
      <c r="A1" s="56" t="s">
        <v>0</v>
      </c>
      <c r="B1" s="56"/>
      <c r="C1" s="56"/>
      <c r="D1" s="56"/>
      <c r="E1" s="56"/>
    </row>
    <row r="2" spans="1:21" ht="18.75">
      <c r="A2" s="57" t="s">
        <v>1</v>
      </c>
      <c r="B2" s="57"/>
      <c r="C2" s="57"/>
      <c r="D2" s="57"/>
      <c r="E2" s="57"/>
    </row>
    <row r="3" spans="1:21" ht="18.75" customHeight="1">
      <c r="A3" s="58" t="s">
        <v>282</v>
      </c>
      <c r="B3" s="57"/>
      <c r="C3" s="57"/>
      <c r="D3" s="57"/>
      <c r="E3" s="57"/>
    </row>
    <row r="4" spans="1:21" ht="16.5" thickBot="1">
      <c r="A4" s="59"/>
      <c r="B4" s="59"/>
      <c r="C4" s="59"/>
      <c r="D4" s="59"/>
      <c r="E4" s="59"/>
    </row>
    <row r="5" spans="1:21" ht="15.75">
      <c r="A5" s="2" t="s">
        <v>3</v>
      </c>
      <c r="B5" s="60" t="s">
        <v>54</v>
      </c>
      <c r="C5" s="60" t="s">
        <v>55</v>
      </c>
      <c r="D5" s="60" t="s">
        <v>42</v>
      </c>
    </row>
    <row r="6" spans="1:21" ht="16.5" thickBot="1">
      <c r="A6" s="4" t="s">
        <v>4</v>
      </c>
      <c r="B6" s="61"/>
      <c r="C6" s="61"/>
      <c r="D6" s="61"/>
    </row>
    <row r="7" spans="1:21" ht="13.5" customHeight="1">
      <c r="A7" s="39" t="s">
        <v>5</v>
      </c>
      <c r="B7" s="44" t="s">
        <v>6</v>
      </c>
      <c r="C7" s="44" t="s">
        <v>83</v>
      </c>
      <c r="D7" s="44">
        <f>IF(IFERROR(SEARCH("подразделения ≥ 4,5", C7), 0) &gt; 0, 5, IF(IFERROR(SEARCH("подразделения ≥ 4,0", C7), 0) &gt; 0, 3, IF(IFERROR(SEARCH("&lt;", C7), 0) &gt; 0, 0,)))</f>
        <v>3</v>
      </c>
      <c r="F7">
        <v>5</v>
      </c>
      <c r="G7" s="16" t="s">
        <v>82</v>
      </c>
      <c r="N7" s="15"/>
      <c r="U7" s="15"/>
    </row>
    <row r="8" spans="1:21" ht="20.25" customHeight="1">
      <c r="A8" s="51"/>
      <c r="B8" s="54"/>
      <c r="C8" s="52"/>
      <c r="D8" s="52"/>
      <c r="F8">
        <v>3</v>
      </c>
      <c r="G8" s="17" t="s">
        <v>83</v>
      </c>
      <c r="N8" s="13"/>
      <c r="U8" s="13"/>
    </row>
    <row r="9" spans="1:21" ht="18" customHeight="1" thickBot="1">
      <c r="A9" s="40"/>
      <c r="B9" s="55"/>
      <c r="C9" s="45"/>
      <c r="D9" s="45"/>
      <c r="F9">
        <v>0</v>
      </c>
      <c r="G9" s="18" t="s">
        <v>84</v>
      </c>
    </row>
    <row r="10" spans="1:21">
      <c r="A10" s="39" t="s">
        <v>7</v>
      </c>
      <c r="B10" s="44" t="s">
        <v>8</v>
      </c>
      <c r="C10" s="44" t="s">
        <v>85</v>
      </c>
      <c r="D10" s="44">
        <f>IF(IFERROR(SEARCH("отсутствуют", C10), 0) &gt; 0, 10, IF(IFERROR(SEARCH("имеются", C10), 0) &gt; 0, 0, ))</f>
        <v>10</v>
      </c>
      <c r="F10">
        <v>10</v>
      </c>
      <c r="G10" t="s">
        <v>85</v>
      </c>
    </row>
    <row r="11" spans="1:21" ht="24.75" customHeight="1" thickBot="1">
      <c r="A11" s="40"/>
      <c r="B11" s="45"/>
      <c r="C11" s="45"/>
      <c r="D11" s="45"/>
      <c r="F11">
        <v>0</v>
      </c>
      <c r="G11" s="13" t="s">
        <v>86</v>
      </c>
    </row>
    <row r="12" spans="1:21" ht="18" customHeight="1" thickBot="1">
      <c r="A12" s="39" t="s">
        <v>9</v>
      </c>
      <c r="B12" s="44" t="s">
        <v>10</v>
      </c>
      <c r="C12" s="44" t="s">
        <v>88</v>
      </c>
      <c r="D12" s="44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>3</v>
      </c>
      <c r="F12">
        <v>5</v>
      </c>
      <c r="G12" s="14" t="s">
        <v>87</v>
      </c>
    </row>
    <row r="13" spans="1:21" ht="15.75">
      <c r="A13" s="51"/>
      <c r="B13" s="52"/>
      <c r="C13" s="52"/>
      <c r="D13" s="52"/>
      <c r="F13">
        <v>3</v>
      </c>
      <c r="G13" s="13" t="s">
        <v>88</v>
      </c>
    </row>
    <row r="14" spans="1:21" ht="16.5" thickBot="1">
      <c r="A14" s="40"/>
      <c r="B14" s="45"/>
      <c r="C14" s="45"/>
      <c r="D14" s="45"/>
      <c r="F14">
        <v>0</v>
      </c>
      <c r="G14" s="13" t="s">
        <v>89</v>
      </c>
    </row>
    <row r="15" spans="1:21" ht="15.75">
      <c r="A15" s="39" t="s">
        <v>11</v>
      </c>
      <c r="B15" s="44" t="s">
        <v>12</v>
      </c>
      <c r="C15" s="41" t="s">
        <v>91</v>
      </c>
      <c r="D15" s="44">
        <f>IF(IFERROR(SEARCH("Отсутствуют", C15), 0) &gt; 0, 5, IF(IFERROR(SEARCH("Наличие одного", C15), 0) &gt; 0, 3, IF(IFERROR(SEARCH("Наличие двух", C15), 0) &gt; 0, 0,)))</f>
        <v>3</v>
      </c>
      <c r="F15">
        <v>5</v>
      </c>
      <c r="G15" s="19" t="s">
        <v>90</v>
      </c>
    </row>
    <row r="16" spans="1:21" ht="15.75">
      <c r="A16" s="51"/>
      <c r="B16" s="52"/>
      <c r="C16" s="53"/>
      <c r="D16" s="52"/>
      <c r="F16">
        <v>3</v>
      </c>
      <c r="G16" s="13" t="s">
        <v>91</v>
      </c>
    </row>
    <row r="17" spans="1:7" ht="92.25" customHeight="1" thickBot="1">
      <c r="A17" s="40"/>
      <c r="B17" s="45"/>
      <c r="C17" s="43"/>
      <c r="D17" s="45"/>
      <c r="F17">
        <v>0</v>
      </c>
      <c r="G17" s="13" t="s">
        <v>92</v>
      </c>
    </row>
    <row r="18" spans="1:7" ht="15" customHeight="1" thickBot="1">
      <c r="A18" s="39" t="s">
        <v>13</v>
      </c>
      <c r="B18" s="44" t="s">
        <v>14</v>
      </c>
      <c r="C18" s="41" t="s">
        <v>93</v>
      </c>
      <c r="D18" s="44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>10</v>
      </c>
      <c r="F18">
        <v>10</v>
      </c>
      <c r="G18" s="13" t="s">
        <v>93</v>
      </c>
    </row>
    <row r="19" spans="1:7" ht="15" customHeight="1" thickBot="1">
      <c r="A19" s="51"/>
      <c r="B19" s="52"/>
      <c r="C19" s="53"/>
      <c r="D19" s="52"/>
      <c r="F19">
        <v>2</v>
      </c>
      <c r="G19" s="14" t="s">
        <v>94</v>
      </c>
    </row>
    <row r="20" spans="1:7" ht="57" customHeight="1" thickBot="1">
      <c r="A20" s="40"/>
      <c r="B20" s="45"/>
      <c r="C20" s="43"/>
      <c r="D20" s="45"/>
      <c r="F20">
        <v>0</v>
      </c>
      <c r="G20" s="13" t="s">
        <v>95</v>
      </c>
    </row>
    <row r="21" spans="1:7" ht="15.75">
      <c r="A21" s="39" t="s">
        <v>15</v>
      </c>
      <c r="B21" s="44" t="s">
        <v>16</v>
      </c>
      <c r="C21" s="41" t="s">
        <v>96</v>
      </c>
      <c r="D21" s="44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>5</v>
      </c>
      <c r="F21">
        <v>5</v>
      </c>
      <c r="G21" s="13" t="s">
        <v>96</v>
      </c>
    </row>
    <row r="22" spans="1:7" ht="42.75" customHeight="1" thickBot="1">
      <c r="A22" s="40"/>
      <c r="B22" s="45"/>
      <c r="C22" s="43"/>
      <c r="D22" s="45"/>
      <c r="F22">
        <v>0</v>
      </c>
      <c r="G22" s="13" t="s">
        <v>97</v>
      </c>
    </row>
    <row r="23" spans="1:7" ht="15.75">
      <c r="A23" s="39" t="s">
        <v>17</v>
      </c>
      <c r="B23" s="44" t="s">
        <v>18</v>
      </c>
      <c r="C23" s="41" t="s">
        <v>19</v>
      </c>
      <c r="D23" s="44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>10</v>
      </c>
      <c r="F23">
        <v>10</v>
      </c>
      <c r="G23" s="13" t="s">
        <v>19</v>
      </c>
    </row>
    <row r="24" spans="1:7" ht="15.75">
      <c r="A24" s="51"/>
      <c r="B24" s="52"/>
      <c r="C24" s="53"/>
      <c r="D24" s="52"/>
      <c r="F24">
        <v>5</v>
      </c>
      <c r="G24" s="13" t="s">
        <v>98</v>
      </c>
    </row>
    <row r="25" spans="1:7" ht="82.5" customHeight="1" thickBot="1">
      <c r="A25" s="40"/>
      <c r="B25" s="45"/>
      <c r="C25" s="43"/>
      <c r="D25" s="45"/>
      <c r="F25">
        <v>0</v>
      </c>
      <c r="G25" s="13" t="s">
        <v>99</v>
      </c>
    </row>
    <row r="26" spans="1:7" ht="15.75">
      <c r="A26" s="39" t="s">
        <v>20</v>
      </c>
      <c r="B26" s="44" t="s">
        <v>21</v>
      </c>
      <c r="C26" s="41" t="s">
        <v>22</v>
      </c>
      <c r="D26" s="44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>3</v>
      </c>
      <c r="F26">
        <v>3</v>
      </c>
      <c r="G26" s="13" t="s">
        <v>22</v>
      </c>
    </row>
    <row r="27" spans="1:7" ht="41.25" customHeight="1" thickBot="1">
      <c r="A27" s="40"/>
      <c r="B27" s="45"/>
      <c r="C27" s="43"/>
      <c r="D27" s="45"/>
      <c r="F27">
        <v>0</v>
      </c>
      <c r="G27" s="13" t="s">
        <v>100</v>
      </c>
    </row>
    <row r="28" spans="1:7" ht="15.75">
      <c r="A28" s="39" t="s">
        <v>23</v>
      </c>
      <c r="B28" s="44" t="s">
        <v>24</v>
      </c>
      <c r="C28" s="41" t="s">
        <v>102</v>
      </c>
      <c r="D28" s="44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>3</v>
      </c>
      <c r="F28">
        <v>5</v>
      </c>
      <c r="G28" s="13" t="s">
        <v>101</v>
      </c>
    </row>
    <row r="29" spans="1:7" ht="15.75">
      <c r="A29" s="51"/>
      <c r="B29" s="52"/>
      <c r="C29" s="53"/>
      <c r="D29" s="52"/>
      <c r="F29">
        <v>3</v>
      </c>
      <c r="G29" s="13" t="s">
        <v>102</v>
      </c>
    </row>
    <row r="30" spans="1:7" ht="61.5" customHeight="1" thickBot="1">
      <c r="A30" s="40"/>
      <c r="B30" s="45"/>
      <c r="C30" s="43"/>
      <c r="D30" s="45"/>
      <c r="F30">
        <v>0</v>
      </c>
      <c r="G30" s="13" t="s">
        <v>103</v>
      </c>
    </row>
    <row r="31" spans="1:7" ht="15.75">
      <c r="A31" s="39" t="s">
        <v>25</v>
      </c>
      <c r="B31" s="44" t="s">
        <v>26</v>
      </c>
      <c r="C31" s="41" t="s">
        <v>104</v>
      </c>
      <c r="D31" s="44">
        <f>IF(IFERROR(SEARCH("Отсутствуют нарушения ТБ", C31), 0) &gt; 0, 10, IF(IFERROR(SEARCH("Имелись нарушения ТБ", C31), 0) &gt; 0, 0, ))</f>
        <v>10</v>
      </c>
      <c r="F31">
        <v>10</v>
      </c>
      <c r="G31" s="13" t="s">
        <v>104</v>
      </c>
    </row>
    <row r="32" spans="1:7" ht="33.75" customHeight="1" thickBot="1">
      <c r="A32" s="40"/>
      <c r="B32" s="45"/>
      <c r="C32" s="43"/>
      <c r="D32" s="45"/>
      <c r="F32">
        <v>0</v>
      </c>
      <c r="G32" s="13" t="s">
        <v>105</v>
      </c>
    </row>
    <row r="33" spans="1:7" ht="15.75">
      <c r="A33" s="39" t="s">
        <v>27</v>
      </c>
      <c r="B33" s="44" t="s">
        <v>28</v>
      </c>
      <c r="C33" s="41" t="s">
        <v>52</v>
      </c>
      <c r="D33" s="44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>10</v>
      </c>
      <c r="F33">
        <v>10</v>
      </c>
      <c r="G33" s="13" t="s">
        <v>52</v>
      </c>
    </row>
    <row r="34" spans="1:7" ht="15.75">
      <c r="A34" s="51"/>
      <c r="B34" s="52"/>
      <c r="C34" s="53"/>
      <c r="D34" s="52"/>
      <c r="F34">
        <v>5</v>
      </c>
      <c r="G34" s="13" t="s">
        <v>106</v>
      </c>
    </row>
    <row r="35" spans="1:7" ht="18" customHeight="1" thickBot="1">
      <c r="A35" s="40"/>
      <c r="B35" s="45"/>
      <c r="C35" s="43"/>
      <c r="D35" s="45"/>
      <c r="F35">
        <v>0</v>
      </c>
      <c r="G35" s="13" t="s">
        <v>107</v>
      </c>
    </row>
    <row r="36" spans="1:7" ht="15.75">
      <c r="A36" s="39" t="s">
        <v>29</v>
      </c>
      <c r="B36" s="44" t="s">
        <v>30</v>
      </c>
      <c r="C36" s="41" t="s">
        <v>31</v>
      </c>
      <c r="D36" s="44">
        <f>IF(IFERROR(SEARCH("Материальные средства ", C36), 0) &gt; 0, 5, IF(IFERROR(SEARCH("Не выполнены ", C36), 0) &gt; 0, 0, ))</f>
        <v>5</v>
      </c>
      <c r="F36">
        <v>5</v>
      </c>
      <c r="G36" s="13" t="s">
        <v>31</v>
      </c>
    </row>
    <row r="37" spans="1:7" ht="45" customHeight="1" thickBot="1">
      <c r="A37" s="40"/>
      <c r="B37" s="45"/>
      <c r="C37" s="43"/>
      <c r="D37" s="45"/>
      <c r="F37">
        <v>0</v>
      </c>
      <c r="G37" s="13" t="s">
        <v>110</v>
      </c>
    </row>
    <row r="38" spans="1:7" ht="15.75">
      <c r="A38" s="39" t="s">
        <v>32</v>
      </c>
      <c r="B38" s="44" t="s">
        <v>33</v>
      </c>
      <c r="C38" s="41" t="s">
        <v>108</v>
      </c>
      <c r="D38" s="44">
        <f>IF(IFERROR(SEARCH("5", C38), 0) &gt; 0, 2, IF(IFERROR(SEARCH("4", C38), 0) &gt; 0, 1, ))</f>
        <v>2</v>
      </c>
      <c r="F38">
        <v>2</v>
      </c>
      <c r="G38" s="13" t="s">
        <v>108</v>
      </c>
    </row>
    <row r="39" spans="1:7" ht="103.5" customHeight="1" thickBot="1">
      <c r="A39" s="40"/>
      <c r="B39" s="45"/>
      <c r="C39" s="43"/>
      <c r="D39" s="45"/>
      <c r="F39">
        <v>1</v>
      </c>
      <c r="G39" s="13" t="s">
        <v>109</v>
      </c>
    </row>
    <row r="40" spans="1:7">
      <c r="A40" s="46" t="s">
        <v>34</v>
      </c>
      <c r="B40" s="47"/>
      <c r="C40" s="66"/>
      <c r="D40" s="68">
        <f>SUM(D7:D39)</f>
        <v>77</v>
      </c>
      <c r="E40" s="65"/>
    </row>
    <row r="41" spans="1:7" ht="15.75" thickBot="1">
      <c r="A41" s="48"/>
      <c r="B41" s="49"/>
      <c r="C41" s="67"/>
      <c r="D41" s="69"/>
      <c r="E41" s="65"/>
    </row>
    <row r="43" spans="1:7" ht="20.25">
      <c r="A43" s="37" t="s">
        <v>35</v>
      </c>
      <c r="B43" s="37"/>
      <c r="C43" s="37"/>
      <c r="D43" s="5"/>
      <c r="E43" s="5"/>
    </row>
    <row r="44" spans="1:7" ht="20.25">
      <c r="A44" s="37"/>
      <c r="B44" s="37"/>
      <c r="C44" s="37"/>
      <c r="D44" s="6"/>
      <c r="E44" s="6"/>
    </row>
    <row r="45" spans="1:7" ht="20.25">
      <c r="A45" s="5"/>
      <c r="B45" s="5"/>
      <c r="C45" s="5" t="s">
        <v>36</v>
      </c>
      <c r="D45" s="5"/>
      <c r="E45" s="5"/>
    </row>
    <row r="46" spans="1:7" ht="20.25">
      <c r="A46" s="5"/>
      <c r="B46" s="5"/>
      <c r="C46" s="5" t="s">
        <v>279</v>
      </c>
    </row>
  </sheetData>
  <mergeCells count="63">
    <mergeCell ref="A1:E1"/>
    <mergeCell ref="A2:E2"/>
    <mergeCell ref="A3:E3"/>
    <mergeCell ref="A4:E4"/>
    <mergeCell ref="B5:B6"/>
    <mergeCell ref="C5:C6"/>
    <mergeCell ref="D5:D6"/>
    <mergeCell ref="A7:A9"/>
    <mergeCell ref="B7:B9"/>
    <mergeCell ref="C7:C9"/>
    <mergeCell ref="D7:D9"/>
    <mergeCell ref="A10:A11"/>
    <mergeCell ref="B10:B11"/>
    <mergeCell ref="C10:C11"/>
    <mergeCell ref="D10:D11"/>
    <mergeCell ref="A12:A14"/>
    <mergeCell ref="B12:B14"/>
    <mergeCell ref="C12:C14"/>
    <mergeCell ref="D12:D14"/>
    <mergeCell ref="A15:A17"/>
    <mergeCell ref="B15:B17"/>
    <mergeCell ref="C15:C17"/>
    <mergeCell ref="D15:D17"/>
    <mergeCell ref="A18:A20"/>
    <mergeCell ref="B18:B20"/>
    <mergeCell ref="C18:C20"/>
    <mergeCell ref="D18:D20"/>
    <mergeCell ref="A21:A22"/>
    <mergeCell ref="B21:B22"/>
    <mergeCell ref="C21:C22"/>
    <mergeCell ref="D21:D22"/>
    <mergeCell ref="A23:A25"/>
    <mergeCell ref="B23:B25"/>
    <mergeCell ref="C23:C25"/>
    <mergeCell ref="D23:D25"/>
    <mergeCell ref="A26:A27"/>
    <mergeCell ref="B26:B27"/>
    <mergeCell ref="C26:C27"/>
    <mergeCell ref="D26:D27"/>
    <mergeCell ref="A28:A30"/>
    <mergeCell ref="B28:B30"/>
    <mergeCell ref="C28:C30"/>
    <mergeCell ref="D28:D30"/>
    <mergeCell ref="A31:A32"/>
    <mergeCell ref="B31:B32"/>
    <mergeCell ref="C31:C32"/>
    <mergeCell ref="D31:D32"/>
    <mergeCell ref="A33:A35"/>
    <mergeCell ref="B33:B35"/>
    <mergeCell ref="C33:C35"/>
    <mergeCell ref="D33:D35"/>
    <mergeCell ref="A36:A37"/>
    <mergeCell ref="B36:B37"/>
    <mergeCell ref="C36:C37"/>
    <mergeCell ref="D36:D37"/>
    <mergeCell ref="E40:E41"/>
    <mergeCell ref="A43:C44"/>
    <mergeCell ref="A38:A39"/>
    <mergeCell ref="B38:B39"/>
    <mergeCell ref="C38:C39"/>
    <mergeCell ref="D38:D39"/>
    <mergeCell ref="A40:C41"/>
    <mergeCell ref="D40:D41"/>
  </mergeCells>
  <dataValidations count="13">
    <dataValidation type="list" allowBlank="1" showInputMessage="1" showErrorMessage="1" sqref="C38:C39">
      <formula1>$G$38:$G$39</formula1>
    </dataValidation>
    <dataValidation type="list" allowBlank="1" showInputMessage="1" showErrorMessage="1" sqref="C36:C37">
      <formula1>$G$36:$G$37</formula1>
    </dataValidation>
    <dataValidation type="list" allowBlank="1" showInputMessage="1" showErrorMessage="1" sqref="C33:C35">
      <formula1>$G$33:$G$35</formula1>
    </dataValidation>
    <dataValidation type="list" allowBlank="1" showInputMessage="1" showErrorMessage="1" sqref="C31:C32">
      <formula1>$G$31:$G$32</formula1>
    </dataValidation>
    <dataValidation type="list" allowBlank="1" showInputMessage="1" showErrorMessage="1" sqref="C28:C30">
      <formula1>$G$28:$G$30</formula1>
    </dataValidation>
    <dataValidation type="list" allowBlank="1" showInputMessage="1" showErrorMessage="1" sqref="C26:C27">
      <formula1>$G$26:$G$27</formula1>
    </dataValidation>
    <dataValidation type="list" allowBlank="1" showInputMessage="1" showErrorMessage="1" sqref="C23:C25">
      <formula1>$G$23:$G$25</formula1>
    </dataValidation>
    <dataValidation type="list" allowBlank="1" showInputMessage="1" showErrorMessage="1" sqref="C21:C22">
      <formula1>$G$21:$G$22</formula1>
    </dataValidation>
    <dataValidation type="list" allowBlank="1" showInputMessage="1" showErrorMessage="1" sqref="C18:C20">
      <formula1>$G$18:$G$20</formula1>
    </dataValidation>
    <dataValidation type="list" allowBlank="1" showInputMessage="1" showErrorMessage="1" sqref="C15:C17">
      <formula1>$G$15:$G$17</formula1>
    </dataValidation>
    <dataValidation type="list" allowBlank="1" showInputMessage="1" showErrorMessage="1" sqref="C12:C14">
      <formula1>$G$12:$G$14</formula1>
    </dataValidation>
    <dataValidation type="list" allowBlank="1" showInputMessage="1" showErrorMessage="1" sqref="C10:C11">
      <formula1>$G$10:$G$11</formula1>
    </dataValidation>
    <dataValidation type="list" allowBlank="1" showInputMessage="1" showErrorMessage="1" sqref="C7:C9">
      <formula1>$G$7:$G$9</formula1>
    </dataValidation>
  </dataValidation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sheetPr>
    <tabColor rgb="FFFFC000"/>
  </sheetPr>
  <dimension ref="A1:U46"/>
  <sheetViews>
    <sheetView topLeftCell="A28" zoomScale="85" zoomScaleNormal="85" workbookViewId="0">
      <selection activeCell="C38" sqref="C38:C39"/>
    </sheetView>
  </sheetViews>
  <sheetFormatPr defaultRowHeight="15"/>
  <cols>
    <col min="2" max="2" width="26" customWidth="1"/>
    <col min="3" max="3" width="58.5703125" customWidth="1"/>
    <col min="4" max="4" width="28.42578125" customWidth="1"/>
    <col min="5" max="5" width="24.140625" hidden="1" customWidth="1"/>
    <col min="6" max="6" width="24" hidden="1" customWidth="1"/>
    <col min="7" max="7" width="1.85546875" hidden="1" customWidth="1"/>
    <col min="8" max="8" width="18.42578125" customWidth="1"/>
  </cols>
  <sheetData>
    <row r="1" spans="1:21" ht="20.25">
      <c r="A1" s="56" t="s">
        <v>0</v>
      </c>
      <c r="B1" s="56"/>
      <c r="C1" s="56"/>
      <c r="D1" s="56"/>
      <c r="E1" s="56"/>
    </row>
    <row r="2" spans="1:21" ht="18.75">
      <c r="A2" s="57" t="s">
        <v>1</v>
      </c>
      <c r="B2" s="57"/>
      <c r="C2" s="57"/>
      <c r="D2" s="57"/>
      <c r="E2" s="57"/>
    </row>
    <row r="3" spans="1:21" ht="18.75" customHeight="1">
      <c r="A3" s="58" t="s">
        <v>283</v>
      </c>
      <c r="B3" s="57"/>
      <c r="C3" s="57"/>
      <c r="D3" s="57"/>
      <c r="E3" s="57"/>
    </row>
    <row r="4" spans="1:21" ht="16.5" thickBot="1">
      <c r="A4" s="59"/>
      <c r="B4" s="59"/>
      <c r="C4" s="59"/>
      <c r="D4" s="59"/>
      <c r="E4" s="59"/>
    </row>
    <row r="5" spans="1:21" ht="15.75">
      <c r="A5" s="2" t="s">
        <v>3</v>
      </c>
      <c r="B5" s="60" t="s">
        <v>54</v>
      </c>
      <c r="C5" s="60" t="s">
        <v>55</v>
      </c>
      <c r="D5" s="60" t="s">
        <v>42</v>
      </c>
    </row>
    <row r="6" spans="1:21" ht="16.5" thickBot="1">
      <c r="A6" s="4" t="s">
        <v>4</v>
      </c>
      <c r="B6" s="61"/>
      <c r="C6" s="61"/>
      <c r="D6" s="61"/>
    </row>
    <row r="7" spans="1:21" ht="13.5" customHeight="1">
      <c r="A7" s="39" t="s">
        <v>5</v>
      </c>
      <c r="B7" s="44" t="s">
        <v>6</v>
      </c>
      <c r="C7" s="44" t="s">
        <v>83</v>
      </c>
      <c r="D7" s="44">
        <f>IF(IFERROR(SEARCH("подразделения ≥ 4,5", C7), 0) &gt; 0, 5, IF(IFERROR(SEARCH("подразделения ≥ 4,0", C7), 0) &gt; 0, 3, IF(IFERROR(SEARCH("&lt;", C7), 0) &gt; 0, 0,)))</f>
        <v>3</v>
      </c>
      <c r="F7">
        <v>5</v>
      </c>
      <c r="G7" s="16" t="s">
        <v>82</v>
      </c>
      <c r="N7" s="15"/>
      <c r="U7" s="15"/>
    </row>
    <row r="8" spans="1:21" ht="20.25" customHeight="1">
      <c r="A8" s="51"/>
      <c r="B8" s="54"/>
      <c r="C8" s="52"/>
      <c r="D8" s="52"/>
      <c r="F8">
        <v>3</v>
      </c>
      <c r="G8" s="17" t="s">
        <v>83</v>
      </c>
      <c r="N8" s="13"/>
      <c r="U8" s="13"/>
    </row>
    <row r="9" spans="1:21" ht="18" customHeight="1" thickBot="1">
      <c r="A9" s="40"/>
      <c r="B9" s="55"/>
      <c r="C9" s="45"/>
      <c r="D9" s="45"/>
      <c r="F9">
        <v>0</v>
      </c>
      <c r="G9" s="18" t="s">
        <v>84</v>
      </c>
    </row>
    <row r="10" spans="1:21">
      <c r="A10" s="39" t="s">
        <v>7</v>
      </c>
      <c r="B10" s="44" t="s">
        <v>8</v>
      </c>
      <c r="C10" s="44" t="s">
        <v>85</v>
      </c>
      <c r="D10" s="44">
        <f>IF(IFERROR(SEARCH("отсутствуют", C10), 0) &gt; 0, 10, IF(IFERROR(SEARCH("имеются", C10), 0) &gt; 0, 0, ))</f>
        <v>10</v>
      </c>
      <c r="F10">
        <v>10</v>
      </c>
      <c r="G10" t="s">
        <v>85</v>
      </c>
    </row>
    <row r="11" spans="1:21" ht="24.75" customHeight="1" thickBot="1">
      <c r="A11" s="40"/>
      <c r="B11" s="45"/>
      <c r="C11" s="45"/>
      <c r="D11" s="45"/>
      <c r="F11">
        <v>0</v>
      </c>
      <c r="G11" s="13" t="s">
        <v>86</v>
      </c>
    </row>
    <row r="12" spans="1:21" ht="18" customHeight="1" thickBot="1">
      <c r="A12" s="39" t="s">
        <v>9</v>
      </c>
      <c r="B12" s="44" t="s">
        <v>10</v>
      </c>
      <c r="C12" s="44" t="s">
        <v>88</v>
      </c>
      <c r="D12" s="44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>3</v>
      </c>
      <c r="F12">
        <v>5</v>
      </c>
      <c r="G12" s="14" t="s">
        <v>87</v>
      </c>
    </row>
    <row r="13" spans="1:21" ht="15.75">
      <c r="A13" s="51"/>
      <c r="B13" s="52"/>
      <c r="C13" s="52"/>
      <c r="D13" s="52"/>
      <c r="F13">
        <v>3</v>
      </c>
      <c r="G13" s="13" t="s">
        <v>88</v>
      </c>
    </row>
    <row r="14" spans="1:21" ht="16.5" thickBot="1">
      <c r="A14" s="40"/>
      <c r="B14" s="45"/>
      <c r="C14" s="45"/>
      <c r="D14" s="45"/>
      <c r="F14">
        <v>0</v>
      </c>
      <c r="G14" s="13" t="s">
        <v>89</v>
      </c>
    </row>
    <row r="15" spans="1:21" ht="15.75">
      <c r="A15" s="39" t="s">
        <v>11</v>
      </c>
      <c r="B15" s="44" t="s">
        <v>12</v>
      </c>
      <c r="C15" s="41" t="s">
        <v>91</v>
      </c>
      <c r="D15" s="44">
        <f>IF(IFERROR(SEARCH("Отсутствуют", C15), 0) &gt; 0, 5, IF(IFERROR(SEARCH("Наличие одного", C15), 0) &gt; 0, 3, IF(IFERROR(SEARCH("Наличие двух", C15), 0) &gt; 0, 0,)))</f>
        <v>3</v>
      </c>
      <c r="F15">
        <v>5</v>
      </c>
      <c r="G15" s="19" t="s">
        <v>90</v>
      </c>
    </row>
    <row r="16" spans="1:21" ht="15.75">
      <c r="A16" s="51"/>
      <c r="B16" s="52"/>
      <c r="C16" s="53"/>
      <c r="D16" s="52"/>
      <c r="F16">
        <v>3</v>
      </c>
      <c r="G16" s="13" t="s">
        <v>91</v>
      </c>
    </row>
    <row r="17" spans="1:7" ht="92.25" customHeight="1" thickBot="1">
      <c r="A17" s="40"/>
      <c r="B17" s="45"/>
      <c r="C17" s="43"/>
      <c r="D17" s="45"/>
      <c r="F17">
        <v>0</v>
      </c>
      <c r="G17" s="13" t="s">
        <v>92</v>
      </c>
    </row>
    <row r="18" spans="1:7" ht="15" customHeight="1" thickBot="1">
      <c r="A18" s="39" t="s">
        <v>13</v>
      </c>
      <c r="B18" s="44" t="s">
        <v>14</v>
      </c>
      <c r="C18" s="41" t="s">
        <v>93</v>
      </c>
      <c r="D18" s="44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>10</v>
      </c>
      <c r="F18">
        <v>10</v>
      </c>
      <c r="G18" s="13" t="s">
        <v>93</v>
      </c>
    </row>
    <row r="19" spans="1:7" ht="15" customHeight="1" thickBot="1">
      <c r="A19" s="51"/>
      <c r="B19" s="52"/>
      <c r="C19" s="53"/>
      <c r="D19" s="52"/>
      <c r="F19">
        <v>2</v>
      </c>
      <c r="G19" s="14" t="s">
        <v>94</v>
      </c>
    </row>
    <row r="20" spans="1:7" ht="57" customHeight="1" thickBot="1">
      <c r="A20" s="40"/>
      <c r="B20" s="45"/>
      <c r="C20" s="43"/>
      <c r="D20" s="45"/>
      <c r="F20">
        <v>0</v>
      </c>
      <c r="G20" s="13" t="s">
        <v>95</v>
      </c>
    </row>
    <row r="21" spans="1:7" ht="15.75">
      <c r="A21" s="39" t="s">
        <v>15</v>
      </c>
      <c r="B21" s="44" t="s">
        <v>16</v>
      </c>
      <c r="C21" s="41" t="s">
        <v>96</v>
      </c>
      <c r="D21" s="44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>5</v>
      </c>
      <c r="F21">
        <v>5</v>
      </c>
      <c r="G21" s="13" t="s">
        <v>96</v>
      </c>
    </row>
    <row r="22" spans="1:7" ht="42.75" customHeight="1" thickBot="1">
      <c r="A22" s="40"/>
      <c r="B22" s="45"/>
      <c r="C22" s="43"/>
      <c r="D22" s="45"/>
      <c r="F22">
        <v>0</v>
      </c>
      <c r="G22" s="13" t="s">
        <v>97</v>
      </c>
    </row>
    <row r="23" spans="1:7" ht="15.75">
      <c r="A23" s="39" t="s">
        <v>17</v>
      </c>
      <c r="B23" s="44" t="s">
        <v>18</v>
      </c>
      <c r="C23" s="41" t="s">
        <v>19</v>
      </c>
      <c r="D23" s="44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>10</v>
      </c>
      <c r="F23">
        <v>10</v>
      </c>
      <c r="G23" s="13" t="s">
        <v>19</v>
      </c>
    </row>
    <row r="24" spans="1:7" ht="15.75">
      <c r="A24" s="51"/>
      <c r="B24" s="52"/>
      <c r="C24" s="53"/>
      <c r="D24" s="52"/>
      <c r="F24">
        <v>5</v>
      </c>
      <c r="G24" s="13" t="s">
        <v>98</v>
      </c>
    </row>
    <row r="25" spans="1:7" ht="82.5" customHeight="1" thickBot="1">
      <c r="A25" s="40"/>
      <c r="B25" s="45"/>
      <c r="C25" s="43"/>
      <c r="D25" s="45"/>
      <c r="F25">
        <v>0</v>
      </c>
      <c r="G25" s="13" t="s">
        <v>99</v>
      </c>
    </row>
    <row r="26" spans="1:7" ht="15.75">
      <c r="A26" s="39" t="s">
        <v>20</v>
      </c>
      <c r="B26" s="44" t="s">
        <v>21</v>
      </c>
      <c r="C26" s="41" t="s">
        <v>22</v>
      </c>
      <c r="D26" s="44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>3</v>
      </c>
      <c r="F26">
        <v>3</v>
      </c>
      <c r="G26" s="13" t="s">
        <v>22</v>
      </c>
    </row>
    <row r="27" spans="1:7" ht="41.25" customHeight="1" thickBot="1">
      <c r="A27" s="40"/>
      <c r="B27" s="45"/>
      <c r="C27" s="43"/>
      <c r="D27" s="45"/>
      <c r="F27">
        <v>0</v>
      </c>
      <c r="G27" s="13" t="s">
        <v>100</v>
      </c>
    </row>
    <row r="28" spans="1:7" ht="15.75">
      <c r="A28" s="39" t="s">
        <v>23</v>
      </c>
      <c r="B28" s="44" t="s">
        <v>24</v>
      </c>
      <c r="C28" s="41" t="s">
        <v>102</v>
      </c>
      <c r="D28" s="44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>3</v>
      </c>
      <c r="F28">
        <v>5</v>
      </c>
      <c r="G28" s="13" t="s">
        <v>101</v>
      </c>
    </row>
    <row r="29" spans="1:7" ht="15.75">
      <c r="A29" s="51"/>
      <c r="B29" s="52"/>
      <c r="C29" s="53"/>
      <c r="D29" s="52"/>
      <c r="F29">
        <v>3</v>
      </c>
      <c r="G29" s="13" t="s">
        <v>102</v>
      </c>
    </row>
    <row r="30" spans="1:7" ht="61.5" customHeight="1" thickBot="1">
      <c r="A30" s="40"/>
      <c r="B30" s="45"/>
      <c r="C30" s="43"/>
      <c r="D30" s="45"/>
      <c r="F30">
        <v>0</v>
      </c>
      <c r="G30" s="13" t="s">
        <v>103</v>
      </c>
    </row>
    <row r="31" spans="1:7" ht="15.75">
      <c r="A31" s="39" t="s">
        <v>25</v>
      </c>
      <c r="B31" s="44" t="s">
        <v>26</v>
      </c>
      <c r="C31" s="41" t="s">
        <v>104</v>
      </c>
      <c r="D31" s="44">
        <f>IF(IFERROR(SEARCH("Отсутствуют нарушения ТБ", C31), 0) &gt; 0, 10, IF(IFERROR(SEARCH("Имелись нарушения ТБ", C31), 0) &gt; 0, 0, ))</f>
        <v>10</v>
      </c>
      <c r="F31">
        <v>10</v>
      </c>
      <c r="G31" s="13" t="s">
        <v>104</v>
      </c>
    </row>
    <row r="32" spans="1:7" ht="33.75" customHeight="1" thickBot="1">
      <c r="A32" s="40"/>
      <c r="B32" s="45"/>
      <c r="C32" s="43"/>
      <c r="D32" s="45"/>
      <c r="F32">
        <v>0</v>
      </c>
      <c r="G32" s="13" t="s">
        <v>105</v>
      </c>
    </row>
    <row r="33" spans="1:7" ht="15.75">
      <c r="A33" s="39" t="s">
        <v>27</v>
      </c>
      <c r="B33" s="44" t="s">
        <v>28</v>
      </c>
      <c r="C33" s="41" t="s">
        <v>52</v>
      </c>
      <c r="D33" s="44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>10</v>
      </c>
      <c r="F33">
        <v>10</v>
      </c>
      <c r="G33" s="13" t="s">
        <v>52</v>
      </c>
    </row>
    <row r="34" spans="1:7" ht="15.75">
      <c r="A34" s="51"/>
      <c r="B34" s="52"/>
      <c r="C34" s="53"/>
      <c r="D34" s="52"/>
      <c r="F34">
        <v>5</v>
      </c>
      <c r="G34" s="13" t="s">
        <v>106</v>
      </c>
    </row>
    <row r="35" spans="1:7" ht="18" customHeight="1" thickBot="1">
      <c r="A35" s="40"/>
      <c r="B35" s="45"/>
      <c r="C35" s="43"/>
      <c r="D35" s="45"/>
      <c r="F35">
        <v>0</v>
      </c>
      <c r="G35" s="13" t="s">
        <v>107</v>
      </c>
    </row>
    <row r="36" spans="1:7" ht="15.75">
      <c r="A36" s="39" t="s">
        <v>29</v>
      </c>
      <c r="B36" s="44" t="s">
        <v>30</v>
      </c>
      <c r="C36" s="41" t="s">
        <v>31</v>
      </c>
      <c r="D36" s="44">
        <f>IF(IFERROR(SEARCH("Материальные средства ", C36), 0) &gt; 0, 5, IF(IFERROR(SEARCH("Не выполнены ", C36), 0) &gt; 0, 0, ))</f>
        <v>5</v>
      </c>
      <c r="F36">
        <v>5</v>
      </c>
      <c r="G36" s="13" t="s">
        <v>31</v>
      </c>
    </row>
    <row r="37" spans="1:7" ht="45" customHeight="1" thickBot="1">
      <c r="A37" s="40"/>
      <c r="B37" s="45"/>
      <c r="C37" s="43"/>
      <c r="D37" s="45"/>
      <c r="F37">
        <v>0</v>
      </c>
      <c r="G37" s="13" t="s">
        <v>110</v>
      </c>
    </row>
    <row r="38" spans="1:7" ht="15.75">
      <c r="A38" s="39" t="s">
        <v>32</v>
      </c>
      <c r="B38" s="44" t="s">
        <v>33</v>
      </c>
      <c r="C38" s="41" t="s">
        <v>109</v>
      </c>
      <c r="D38" s="44">
        <f>IF(IFERROR(SEARCH("5", C38), 0) &gt; 0, 2, IF(IFERROR(SEARCH("4", C38), 0) &gt; 0, 1, ))</f>
        <v>1</v>
      </c>
      <c r="F38">
        <v>2</v>
      </c>
      <c r="G38" s="13" t="s">
        <v>108</v>
      </c>
    </row>
    <row r="39" spans="1:7" ht="103.5" customHeight="1" thickBot="1">
      <c r="A39" s="40"/>
      <c r="B39" s="45"/>
      <c r="C39" s="43"/>
      <c r="D39" s="45"/>
      <c r="F39">
        <v>1</v>
      </c>
      <c r="G39" s="13" t="s">
        <v>109</v>
      </c>
    </row>
    <row r="40" spans="1:7">
      <c r="A40" s="46" t="s">
        <v>34</v>
      </c>
      <c r="B40" s="47"/>
      <c r="C40" s="66"/>
      <c r="D40" s="68">
        <f>SUM(D7:D39)</f>
        <v>76</v>
      </c>
      <c r="E40" s="65"/>
    </row>
    <row r="41" spans="1:7" ht="15.75" thickBot="1">
      <c r="A41" s="48"/>
      <c r="B41" s="49"/>
      <c r="C41" s="67"/>
      <c r="D41" s="69"/>
      <c r="E41" s="65"/>
    </row>
    <row r="43" spans="1:7" ht="20.25">
      <c r="A43" s="37" t="s">
        <v>35</v>
      </c>
      <c r="B43" s="37"/>
      <c r="C43" s="37"/>
      <c r="D43" s="5"/>
      <c r="E43" s="5"/>
    </row>
    <row r="44" spans="1:7" ht="20.25">
      <c r="A44" s="37"/>
      <c r="B44" s="37"/>
      <c r="C44" s="37"/>
      <c r="D44" s="6"/>
      <c r="E44" s="6"/>
    </row>
    <row r="45" spans="1:7" ht="20.25">
      <c r="A45" s="5"/>
      <c r="B45" s="5"/>
      <c r="C45" s="5" t="s">
        <v>36</v>
      </c>
      <c r="D45" s="5"/>
      <c r="E45" s="5"/>
    </row>
    <row r="46" spans="1:7" ht="20.25">
      <c r="A46" s="5"/>
      <c r="B46" s="5"/>
      <c r="C46" s="5" t="s">
        <v>279</v>
      </c>
    </row>
  </sheetData>
  <mergeCells count="63">
    <mergeCell ref="A1:E1"/>
    <mergeCell ref="A2:E2"/>
    <mergeCell ref="A3:E3"/>
    <mergeCell ref="A4:E4"/>
    <mergeCell ref="B5:B6"/>
    <mergeCell ref="C5:C6"/>
    <mergeCell ref="D5:D6"/>
    <mergeCell ref="A7:A9"/>
    <mergeCell ref="B7:B9"/>
    <mergeCell ref="C7:C9"/>
    <mergeCell ref="D7:D9"/>
    <mergeCell ref="A10:A11"/>
    <mergeCell ref="B10:B11"/>
    <mergeCell ref="C10:C11"/>
    <mergeCell ref="D10:D11"/>
    <mergeCell ref="A12:A14"/>
    <mergeCell ref="B12:B14"/>
    <mergeCell ref="C12:C14"/>
    <mergeCell ref="D12:D14"/>
    <mergeCell ref="A15:A17"/>
    <mergeCell ref="B15:B17"/>
    <mergeCell ref="C15:C17"/>
    <mergeCell ref="D15:D17"/>
    <mergeCell ref="A18:A20"/>
    <mergeCell ref="B18:B20"/>
    <mergeCell ref="C18:C20"/>
    <mergeCell ref="D18:D20"/>
    <mergeCell ref="A21:A22"/>
    <mergeCell ref="B21:B22"/>
    <mergeCell ref="C21:C22"/>
    <mergeCell ref="D21:D22"/>
    <mergeCell ref="A23:A25"/>
    <mergeCell ref="B23:B25"/>
    <mergeCell ref="C23:C25"/>
    <mergeCell ref="D23:D25"/>
    <mergeCell ref="A26:A27"/>
    <mergeCell ref="B26:B27"/>
    <mergeCell ref="C26:C27"/>
    <mergeCell ref="D26:D27"/>
    <mergeCell ref="A28:A30"/>
    <mergeCell ref="B28:B30"/>
    <mergeCell ref="C28:C30"/>
    <mergeCell ref="D28:D30"/>
    <mergeCell ref="A31:A32"/>
    <mergeCell ref="B31:B32"/>
    <mergeCell ref="C31:C32"/>
    <mergeCell ref="D31:D32"/>
    <mergeCell ref="A33:A35"/>
    <mergeCell ref="B33:B35"/>
    <mergeCell ref="C33:C35"/>
    <mergeCell ref="D33:D35"/>
    <mergeCell ref="A36:A37"/>
    <mergeCell ref="B36:B37"/>
    <mergeCell ref="C36:C37"/>
    <mergeCell ref="D36:D37"/>
    <mergeCell ref="E40:E41"/>
    <mergeCell ref="A43:C44"/>
    <mergeCell ref="A38:A39"/>
    <mergeCell ref="B38:B39"/>
    <mergeCell ref="C38:C39"/>
    <mergeCell ref="D38:D39"/>
    <mergeCell ref="A40:C41"/>
    <mergeCell ref="D40:D41"/>
  </mergeCells>
  <dataValidations count="13">
    <dataValidation type="list" allowBlank="1" showInputMessage="1" showErrorMessage="1" sqref="C7:C9">
      <formula1>$G$7:$G$9</formula1>
    </dataValidation>
    <dataValidation type="list" allowBlank="1" showInputMessage="1" showErrorMessage="1" sqref="C10:C11">
      <formula1>$G$10:$G$11</formula1>
    </dataValidation>
    <dataValidation type="list" allowBlank="1" showInputMessage="1" showErrorMessage="1" sqref="C12:C14">
      <formula1>$G$12:$G$14</formula1>
    </dataValidation>
    <dataValidation type="list" allowBlank="1" showInputMessage="1" showErrorMessage="1" sqref="C15:C17">
      <formula1>$G$15:$G$17</formula1>
    </dataValidation>
    <dataValidation type="list" allowBlank="1" showInputMessage="1" showErrorMessage="1" sqref="C18:C20">
      <formula1>$G$18:$G$20</formula1>
    </dataValidation>
    <dataValidation type="list" allowBlank="1" showInputMessage="1" showErrorMessage="1" sqref="C21:C22">
      <formula1>$G$21:$G$22</formula1>
    </dataValidation>
    <dataValidation type="list" allowBlank="1" showInputMessage="1" showErrorMessage="1" sqref="C23:C25">
      <formula1>$G$23:$G$25</formula1>
    </dataValidation>
    <dataValidation type="list" allowBlank="1" showInputMessage="1" showErrorMessage="1" sqref="C26:C27">
      <formula1>$G$26:$G$27</formula1>
    </dataValidation>
    <dataValidation type="list" allowBlank="1" showInputMessage="1" showErrorMessage="1" sqref="C28:C30">
      <formula1>$G$28:$G$30</formula1>
    </dataValidation>
    <dataValidation type="list" allowBlank="1" showInputMessage="1" showErrorMessage="1" sqref="C31:C32">
      <formula1>$G$31:$G$32</formula1>
    </dataValidation>
    <dataValidation type="list" allowBlank="1" showInputMessage="1" showErrorMessage="1" sqref="C33:C35">
      <formula1>$G$33:$G$35</formula1>
    </dataValidation>
    <dataValidation type="list" allowBlank="1" showInputMessage="1" showErrorMessage="1" sqref="C36:C37">
      <formula1>$G$36:$G$37</formula1>
    </dataValidation>
    <dataValidation type="list" allowBlank="1" showInputMessage="1" showErrorMessage="1" sqref="C38:C39">
      <formula1>$G$38:$G$39</formula1>
    </dataValidation>
  </dataValidation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sheetPr>
    <tabColor rgb="FFFFC000"/>
  </sheetPr>
  <dimension ref="A1:L56"/>
  <sheetViews>
    <sheetView zoomScale="70" zoomScaleNormal="70" workbookViewId="0">
      <selection activeCell="G1" sqref="G1:L1048576"/>
    </sheetView>
  </sheetViews>
  <sheetFormatPr defaultRowHeight="15"/>
  <cols>
    <col min="2" max="2" width="26" customWidth="1"/>
    <col min="3" max="3" width="58.5703125" customWidth="1"/>
    <col min="4" max="4" width="28.5703125" customWidth="1"/>
    <col min="5" max="5" width="0.140625" customWidth="1"/>
    <col min="6" max="6" width="0.42578125" customWidth="1"/>
    <col min="7" max="11" width="9.140625" hidden="1" customWidth="1"/>
    <col min="12" max="12" width="12" hidden="1" customWidth="1"/>
    <col min="13" max="13" width="9.140625" customWidth="1"/>
  </cols>
  <sheetData>
    <row r="1" spans="1:12" ht="20.25">
      <c r="A1" s="56" t="s">
        <v>0</v>
      </c>
      <c r="B1" s="56"/>
      <c r="C1" s="56"/>
      <c r="D1" s="56"/>
      <c r="E1" s="56"/>
    </row>
    <row r="2" spans="1:12" ht="18.75">
      <c r="A2" s="57" t="s">
        <v>1</v>
      </c>
      <c r="B2" s="57"/>
      <c r="C2" s="57"/>
      <c r="D2" s="57"/>
      <c r="E2" s="57"/>
    </row>
    <row r="3" spans="1:12" ht="18.75" customHeight="1">
      <c r="A3" s="58" t="s">
        <v>284</v>
      </c>
      <c r="B3" s="57"/>
      <c r="C3" s="57"/>
      <c r="D3" s="57"/>
      <c r="E3" s="57"/>
    </row>
    <row r="4" spans="1:12" ht="16.5" thickBot="1">
      <c r="A4" s="59"/>
      <c r="B4" s="59"/>
      <c r="C4" s="59"/>
      <c r="D4" s="59"/>
      <c r="E4" s="59"/>
    </row>
    <row r="5" spans="1:12" ht="15.75" customHeight="1">
      <c r="A5" s="2" t="s">
        <v>3</v>
      </c>
      <c r="B5" s="60" t="s">
        <v>54</v>
      </c>
      <c r="C5" s="60" t="s">
        <v>55</v>
      </c>
      <c r="D5" s="60" t="s">
        <v>42</v>
      </c>
    </row>
    <row r="6" spans="1:12" ht="16.5" thickBot="1">
      <c r="A6" s="4" t="s">
        <v>4</v>
      </c>
      <c r="B6" s="61"/>
      <c r="C6" s="61"/>
      <c r="D6" s="61"/>
    </row>
    <row r="7" spans="1:12" ht="15" customHeight="1">
      <c r="A7" s="39" t="s">
        <v>5</v>
      </c>
      <c r="B7" s="44" t="s">
        <v>6</v>
      </c>
      <c r="C7" s="44" t="s">
        <v>343</v>
      </c>
      <c r="D7" s="44">
        <f>IF(IFERROR(SEARCH("подразделения ≥ 4,5", C7), 0) &gt; 0, 5, IF(IFERROR(SEARCH("подразделения ≥ 4,0", C7), 0) &gt; 0, 3, IF(IFERROR(SEARCH("&lt;", C7), 0) &gt; 0, 0,)))</f>
        <v>3</v>
      </c>
      <c r="F7">
        <v>5</v>
      </c>
      <c r="G7" s="16" t="s">
        <v>344</v>
      </c>
    </row>
    <row r="8" spans="1:12" ht="15" customHeight="1">
      <c r="A8" s="51"/>
      <c r="B8" s="54"/>
      <c r="C8" s="52"/>
      <c r="D8" s="52"/>
      <c r="F8">
        <v>3</v>
      </c>
      <c r="G8" s="17" t="s">
        <v>343</v>
      </c>
    </row>
    <row r="9" spans="1:12" ht="18.75" customHeight="1" thickBot="1">
      <c r="A9" s="40"/>
      <c r="B9" s="55"/>
      <c r="C9" s="45"/>
      <c r="D9" s="45"/>
      <c r="F9">
        <v>0</v>
      </c>
      <c r="G9" s="18" t="s">
        <v>349</v>
      </c>
    </row>
    <row r="10" spans="1:12" ht="15" customHeight="1">
      <c r="A10" s="39" t="s">
        <v>7</v>
      </c>
      <c r="B10" s="44" t="s">
        <v>8</v>
      </c>
      <c r="C10" s="44" t="s">
        <v>259</v>
      </c>
      <c r="D10" s="44">
        <f>IF(C10="Академические задолжности отсутствуют",10,0)</f>
        <v>10</v>
      </c>
      <c r="F10">
        <v>10</v>
      </c>
    </row>
    <row r="11" spans="1:12" ht="15.75" customHeight="1" thickBot="1">
      <c r="A11" s="40"/>
      <c r="B11" s="45"/>
      <c r="C11" s="45"/>
      <c r="D11" s="45"/>
      <c r="F11">
        <v>0</v>
      </c>
    </row>
    <row r="12" spans="1:12" ht="15" customHeight="1">
      <c r="A12" s="39" t="s">
        <v>9</v>
      </c>
      <c r="B12" s="44" t="s">
        <v>10</v>
      </c>
      <c r="C12" s="44" t="s">
        <v>266</v>
      </c>
      <c r="D12" s="44">
        <f>IF(C12="В подразделении и у КУГ отсутствуют текущие задолжности",5,IF(C12="Имеются менее 20% текущих задолжностей в подразделении или у КУГ",3,IF(C12="Имеются более 20% текущих задолжностей в подразделении или у КУГ",0,)))</f>
        <v>5</v>
      </c>
      <c r="F12">
        <v>5</v>
      </c>
    </row>
    <row r="13" spans="1:12" ht="15" customHeight="1">
      <c r="A13" s="51"/>
      <c r="B13" s="52"/>
      <c r="C13" s="52"/>
      <c r="D13" s="52"/>
      <c r="F13">
        <v>3</v>
      </c>
    </row>
    <row r="14" spans="1:12" ht="15.75" customHeight="1" thickBot="1">
      <c r="A14" s="40"/>
      <c r="B14" s="45"/>
      <c r="C14" s="45"/>
      <c r="D14" s="45"/>
      <c r="F14">
        <v>0</v>
      </c>
    </row>
    <row r="15" spans="1:12" ht="15" customHeight="1">
      <c r="A15" s="39" t="s">
        <v>11</v>
      </c>
      <c r="B15" s="44" t="s">
        <v>39</v>
      </c>
      <c r="C15" s="64" t="s">
        <v>40</v>
      </c>
      <c r="D15" s="44">
        <f>IF(C15="Подразделение прибыло на занятие своевременно; дежурный по аудитории назначен; ЖУУЗ и классная доска оформлены; литература, конспекты, ПЭВМ (по необходимости) получены; внутренний порядок в аудитории поддерживается",5,IF(C15="Подразделение прибыло на занятие своевременно; дежурный по аудитории назначен; литература, конспекты, ПЭВМ (по необходимости) получены; ЖУУЗ или классная доска оформлены не своевременно; или имеются отклонения по  внутреннему порядку в аудитории",3,IF(C15="одразделение опоздало на занятие; или ЖУУЗ и классная доска не оформлены; литература, конспекты, ПЭВМ (по необходимости) не получены; или внутренний порядок в аудитории не поддерживается ",0,)))</f>
        <v>5</v>
      </c>
      <c r="F15">
        <v>5</v>
      </c>
      <c r="L15" s="13" t="s">
        <v>40</v>
      </c>
    </row>
    <row r="16" spans="1:12" ht="15" customHeight="1">
      <c r="A16" s="51"/>
      <c r="B16" s="52"/>
      <c r="C16" s="62"/>
      <c r="D16" s="52"/>
      <c r="F16">
        <v>3</v>
      </c>
      <c r="L16" s="13" t="s">
        <v>77</v>
      </c>
    </row>
    <row r="17" spans="1:12" ht="52.5" customHeight="1" thickBot="1">
      <c r="A17" s="40"/>
      <c r="B17" s="45"/>
      <c r="C17" s="63"/>
      <c r="D17" s="45"/>
      <c r="F17">
        <v>0</v>
      </c>
      <c r="L17" t="s">
        <v>78</v>
      </c>
    </row>
    <row r="18" spans="1:12" ht="15" customHeight="1" thickBot="1">
      <c r="A18" s="39" t="s">
        <v>13</v>
      </c>
      <c r="B18" s="44" t="s">
        <v>41</v>
      </c>
      <c r="C18" s="64" t="s">
        <v>79</v>
      </c>
      <c r="D18" s="44">
        <f>IF(IFERROR(SEARCH("30%", C18), 0) &gt; 0, 5, IF(IFERROR(SEARCH("10%", C18), 0) &gt; 0, 3, IF(IFERROR(SEARCH("не получены", C18), 0) &gt; 0, 0,)))</f>
        <v>5</v>
      </c>
      <c r="F18">
        <v>10</v>
      </c>
      <c r="L18" s="14" t="s">
        <v>79</v>
      </c>
    </row>
    <row r="19" spans="1:12" ht="15" customHeight="1">
      <c r="A19" s="51"/>
      <c r="B19" s="52"/>
      <c r="C19" s="62"/>
      <c r="D19" s="52"/>
      <c r="F19">
        <v>2</v>
      </c>
      <c r="L19" s="13" t="s">
        <v>80</v>
      </c>
    </row>
    <row r="20" spans="1:12" ht="105" customHeight="1" thickBot="1">
      <c r="A20" s="40"/>
      <c r="B20" s="45"/>
      <c r="C20" s="63"/>
      <c r="D20" s="45"/>
      <c r="F20">
        <v>0</v>
      </c>
      <c r="L20" s="13" t="s">
        <v>81</v>
      </c>
    </row>
    <row r="21" spans="1:12" ht="15" customHeight="1">
      <c r="A21" s="39" t="s">
        <v>15</v>
      </c>
      <c r="B21" s="44" t="s">
        <v>12</v>
      </c>
      <c r="C21" s="41" t="s">
        <v>73</v>
      </c>
      <c r="D21" s="44">
        <f>IF(C21="Замечания в подразделении и у КУГ отсутствуют",5,IF(C21="В подразделении 2 замечания у КУГ отсутствуют",3,IF(C21="В подразделении 3 и более замечаний или замечания у КУГ",0,)))</f>
        <v>5</v>
      </c>
      <c r="F21">
        <v>5</v>
      </c>
    </row>
    <row r="22" spans="1:12" ht="15.75" customHeight="1">
      <c r="A22" s="51"/>
      <c r="B22" s="52"/>
      <c r="C22" s="53"/>
      <c r="D22" s="52"/>
      <c r="F22">
        <v>0</v>
      </c>
    </row>
    <row r="23" spans="1:12" ht="82.5" customHeight="1" thickBot="1">
      <c r="A23" s="40"/>
      <c r="B23" s="45"/>
      <c r="C23" s="43"/>
      <c r="D23" s="45"/>
      <c r="F23">
        <v>10</v>
      </c>
    </row>
    <row r="24" spans="1:12" ht="15" customHeight="1">
      <c r="A24" s="39" t="s">
        <v>17</v>
      </c>
      <c r="B24" s="44" t="s">
        <v>14</v>
      </c>
      <c r="C24" s="41" t="s">
        <v>74</v>
      </c>
      <c r="D24" s="44">
        <f>IF(C24="ПРО, ПРЕ, ГДП в подразделении и КУГ отсутствуют",10,IF(C24="ПРО, ПРЕ отсутствуют, имеются не снятые взыскания за ГДП в подразделении, у КУГ отсутствуют",2,IF(C24="Совершено ПРО, ПРЕ, ГДП в подразделении или КУГ или допущено сокрытие",0,)))</f>
        <v>2</v>
      </c>
      <c r="F24">
        <v>5</v>
      </c>
    </row>
    <row r="25" spans="1:12" ht="15.75" customHeight="1">
      <c r="A25" s="51"/>
      <c r="B25" s="52"/>
      <c r="C25" s="53"/>
      <c r="D25" s="52"/>
      <c r="F25">
        <v>0</v>
      </c>
    </row>
    <row r="26" spans="1:12" ht="52.5" customHeight="1" thickBot="1">
      <c r="A26" s="40"/>
      <c r="B26" s="45"/>
      <c r="C26" s="43"/>
      <c r="D26" s="45"/>
      <c r="F26">
        <v>3</v>
      </c>
    </row>
    <row r="27" spans="1:12" ht="15.75" customHeight="1">
      <c r="A27" s="39" t="s">
        <v>20</v>
      </c>
      <c r="B27" s="44" t="s">
        <v>16</v>
      </c>
      <c r="C27" s="41" t="s">
        <v>57</v>
      </c>
      <c r="D27" s="44">
        <f>IF(C27="Дисциплинарная практика к подчиненному личному составу ведется",5,0)</f>
        <v>5</v>
      </c>
      <c r="F27">
        <v>0</v>
      </c>
    </row>
    <row r="28" spans="1:12" ht="15" customHeight="1" thickBot="1">
      <c r="A28" s="40"/>
      <c r="B28" s="45"/>
      <c r="C28" s="43"/>
      <c r="D28" s="45"/>
      <c r="F28">
        <v>5</v>
      </c>
    </row>
    <row r="29" spans="1:12" ht="15" customHeight="1">
      <c r="A29" s="39" t="s">
        <v>23</v>
      </c>
      <c r="B29" s="44" t="s">
        <v>18</v>
      </c>
      <c r="C29" s="41" t="s">
        <v>60</v>
      </c>
      <c r="D29" s="44">
        <f>IF(C29="Обстановкой владеет, доклады представляет, книжка сержантов актуальна",10,IF(C29="Обстановкой владеет, доклады представляет, книжка сержантов не актуальна",5,IF(C29="Обстановкой не владеет, доклады не представляет, книжка сержантов не актуальна",0,)))</f>
        <v>10</v>
      </c>
      <c r="F29">
        <v>3</v>
      </c>
    </row>
    <row r="30" spans="1:12" ht="15.75" customHeight="1">
      <c r="A30" s="51"/>
      <c r="B30" s="52"/>
      <c r="C30" s="53"/>
      <c r="D30" s="52"/>
      <c r="F30">
        <v>0</v>
      </c>
    </row>
    <row r="31" spans="1:12" ht="105" customHeight="1" thickBot="1">
      <c r="A31" s="40"/>
      <c r="B31" s="45"/>
      <c r="C31" s="43"/>
      <c r="D31" s="45"/>
      <c r="F31">
        <v>10</v>
      </c>
    </row>
    <row r="32" spans="1:12" ht="26.25" customHeight="1">
      <c r="A32" s="39" t="s">
        <v>25</v>
      </c>
      <c r="B32" s="44" t="s">
        <v>21</v>
      </c>
      <c r="C32" s="41" t="s">
        <v>75</v>
      </c>
      <c r="D32" s="44">
        <f>IF(C32="Подведение итогов актуально, поставлены конкретные задачи и проводится в установленное время",3,0)</f>
        <v>3</v>
      </c>
      <c r="F32">
        <v>0</v>
      </c>
    </row>
    <row r="33" spans="1:6" ht="30" customHeight="1" thickBot="1">
      <c r="A33" s="40"/>
      <c r="B33" s="45"/>
      <c r="C33" s="43"/>
      <c r="D33" s="45"/>
      <c r="F33">
        <v>10</v>
      </c>
    </row>
    <row r="34" spans="1:6" ht="15" customHeight="1">
      <c r="A34" s="51" t="s">
        <v>27</v>
      </c>
      <c r="B34" s="52" t="s">
        <v>43</v>
      </c>
      <c r="C34" s="41" t="s">
        <v>263</v>
      </c>
      <c r="D34" s="62">
        <f>IF(C34="Увольнения распределены равномерно",2,0)</f>
        <v>2</v>
      </c>
      <c r="F34">
        <v>5</v>
      </c>
    </row>
    <row r="35" spans="1:6" ht="15.75" customHeight="1" thickBot="1">
      <c r="A35" s="40"/>
      <c r="B35" s="45"/>
      <c r="C35" s="43"/>
      <c r="D35" s="63"/>
      <c r="F35">
        <v>0</v>
      </c>
    </row>
    <row r="36" spans="1:6" ht="15" customHeight="1">
      <c r="A36" s="39" t="s">
        <v>29</v>
      </c>
      <c r="B36" s="44" t="s">
        <v>44</v>
      </c>
      <c r="C36" s="44" t="s">
        <v>339</v>
      </c>
      <c r="D36" s="64">
        <f>IF(C36="Наряды и уборщики распределены равномерно",2,IF(C36="Наряды распределены равномерно, уборщики не равномерно",1,IF(C36="Наряды и уборщики распределены не равномерно",0,)))</f>
        <v>0</v>
      </c>
      <c r="F36">
        <v>5</v>
      </c>
    </row>
    <row r="37" spans="1:6" ht="15.75" customHeight="1">
      <c r="A37" s="51"/>
      <c r="B37" s="52"/>
      <c r="C37" s="52"/>
      <c r="D37" s="62"/>
      <c r="F37">
        <v>0</v>
      </c>
    </row>
    <row r="38" spans="1:6" ht="38.25" customHeight="1" thickBot="1">
      <c r="A38" s="40"/>
      <c r="B38" s="45"/>
      <c r="C38" s="45"/>
      <c r="D38" s="63"/>
      <c r="F38">
        <v>2</v>
      </c>
    </row>
    <row r="39" spans="1:6" ht="15.75" customHeight="1">
      <c r="A39" s="39" t="s">
        <v>32</v>
      </c>
      <c r="B39" s="44" t="s">
        <v>24</v>
      </c>
      <c r="C39" s="41" t="s">
        <v>336</v>
      </c>
      <c r="D39" s="44">
        <f>IF(C39="Замечания у подчиненного л/с отсутствуют, КУГ оценен не ниже «хорошо»",5,IF(C39="Выявлено не более 2 замечаний у подчиненного л/с, КУГ оценен не ниже «хорошо»",3,IF(C39="Л/с отстранен или выявлено более 2 замечаний, КУГ оценен ниже «хорошо»",0,)))</f>
        <v>3</v>
      </c>
      <c r="F39">
        <v>1</v>
      </c>
    </row>
    <row r="40" spans="1:6" ht="15" customHeight="1">
      <c r="A40" s="51"/>
      <c r="B40" s="52"/>
      <c r="C40" s="53"/>
      <c r="D40" s="52"/>
    </row>
    <row r="41" spans="1:6" ht="40.5" customHeight="1" thickBot="1">
      <c r="A41" s="40"/>
      <c r="B41" s="45"/>
      <c r="C41" s="43"/>
      <c r="D41" s="45"/>
    </row>
    <row r="42" spans="1:6">
      <c r="A42" s="39" t="s">
        <v>45</v>
      </c>
      <c r="B42" s="44" t="s">
        <v>26</v>
      </c>
      <c r="C42" s="41" t="s">
        <v>65</v>
      </c>
      <c r="D42" s="44">
        <f>IF(C42="Нарушений ТБ, приведших к травматизму л/с нет",10,0)</f>
        <v>10</v>
      </c>
    </row>
    <row r="43" spans="1:6" ht="44.25" customHeight="1" thickBot="1">
      <c r="A43" s="40"/>
      <c r="B43" s="45"/>
      <c r="C43" s="43"/>
      <c r="D43" s="45"/>
    </row>
    <row r="44" spans="1:6">
      <c r="A44" s="39" t="s">
        <v>46</v>
      </c>
      <c r="B44" s="44" t="s">
        <v>28</v>
      </c>
      <c r="C44" s="41" t="s">
        <v>52</v>
      </c>
      <c r="D44" s="44">
        <f>IF(C44="Элементы распорядка дня соблюдаются",10,IF(C44="Не более пяти нарушений распорядка дня, срывов мероприятий не допущено",5,IF(C44="Более пяти нарушений элементов распорядка дня или мероприятие сорвано",0,)))</f>
        <v>10</v>
      </c>
    </row>
    <row r="45" spans="1:6">
      <c r="A45" s="51"/>
      <c r="B45" s="52"/>
      <c r="C45" s="53"/>
      <c r="D45" s="52"/>
    </row>
    <row r="46" spans="1:6" ht="15.75" thickBot="1">
      <c r="A46" s="40"/>
      <c r="B46" s="45"/>
      <c r="C46" s="43"/>
      <c r="D46" s="45"/>
    </row>
    <row r="47" spans="1:6">
      <c r="A47" s="39" t="s">
        <v>47</v>
      </c>
      <c r="B47" s="44" t="s">
        <v>30</v>
      </c>
      <c r="C47" s="41" t="s">
        <v>31</v>
      </c>
      <c r="D47" s="44">
        <f>IF(C47="Материальные средства подразделения в наличии, исправны, обслужены, хранятся правильно",5,0)</f>
        <v>5</v>
      </c>
    </row>
    <row r="48" spans="1:6" ht="45" customHeight="1" thickBot="1">
      <c r="A48" s="40"/>
      <c r="B48" s="45"/>
      <c r="C48" s="43"/>
      <c r="D48" s="45"/>
    </row>
    <row r="49" spans="1:5">
      <c r="A49" s="39" t="s">
        <v>48</v>
      </c>
      <c r="B49" s="44" t="s">
        <v>33</v>
      </c>
      <c r="C49" s="41" t="s">
        <v>49</v>
      </c>
      <c r="D49" s="44">
        <f>IF(C49="Оценка по физической подготовке (культуре) - 5",2,1)</f>
        <v>2</v>
      </c>
    </row>
    <row r="50" spans="1:5" ht="97.5" customHeight="1" thickBot="1">
      <c r="A50" s="40"/>
      <c r="B50" s="45"/>
      <c r="C50" s="43"/>
      <c r="D50" s="45"/>
    </row>
    <row r="51" spans="1:5" ht="15.75">
      <c r="A51" s="46" t="s">
        <v>34</v>
      </c>
      <c r="B51" s="47"/>
      <c r="C51" s="47"/>
      <c r="D51" s="50">
        <f>SUM(D7:D50)</f>
        <v>85</v>
      </c>
      <c r="E51" s="8"/>
    </row>
    <row r="52" spans="1:5" ht="16.5" thickBot="1">
      <c r="A52" s="48"/>
      <c r="B52" s="49"/>
      <c r="C52" s="49"/>
      <c r="D52" s="42"/>
      <c r="E52" s="8"/>
    </row>
    <row r="54" spans="1:5" ht="20.25">
      <c r="A54" s="37" t="s">
        <v>35</v>
      </c>
      <c r="B54" s="37"/>
      <c r="C54" s="37"/>
      <c r="D54" s="37"/>
      <c r="E54" s="37"/>
    </row>
    <row r="55" spans="1:5" ht="20.25">
      <c r="A55" s="38" t="s">
        <v>36</v>
      </c>
      <c r="B55" s="38"/>
      <c r="C55" s="38"/>
      <c r="D55" s="38"/>
      <c r="E55" s="38"/>
    </row>
    <row r="56" spans="1:5" ht="21">
      <c r="A56" s="9"/>
      <c r="B56" s="9"/>
      <c r="C56" s="5" t="s">
        <v>276</v>
      </c>
      <c r="D56" s="5"/>
      <c r="E56" s="9"/>
    </row>
  </sheetData>
  <mergeCells count="79">
    <mergeCell ref="A1:E1"/>
    <mergeCell ref="A2:E2"/>
    <mergeCell ref="A3:E3"/>
    <mergeCell ref="A4:E4"/>
    <mergeCell ref="B5:B6"/>
    <mergeCell ref="C5:C6"/>
    <mergeCell ref="D5:D6"/>
    <mergeCell ref="A7:A9"/>
    <mergeCell ref="B7:B9"/>
    <mergeCell ref="C7:C9"/>
    <mergeCell ref="D7:D9"/>
    <mergeCell ref="A10:A11"/>
    <mergeCell ref="B10:B11"/>
    <mergeCell ref="C10:C11"/>
    <mergeCell ref="D10:D11"/>
    <mergeCell ref="A12:A14"/>
    <mergeCell ref="B12:B14"/>
    <mergeCell ref="C12:C14"/>
    <mergeCell ref="D12:D14"/>
    <mergeCell ref="A15:A17"/>
    <mergeCell ref="B15:B17"/>
    <mergeCell ref="C15:C17"/>
    <mergeCell ref="D15:D17"/>
    <mergeCell ref="A18:A20"/>
    <mergeCell ref="B18:B20"/>
    <mergeCell ref="C18:C20"/>
    <mergeCell ref="D18:D20"/>
    <mergeCell ref="A21:A23"/>
    <mergeCell ref="B21:B23"/>
    <mergeCell ref="C21:C23"/>
    <mergeCell ref="D21:D23"/>
    <mergeCell ref="A24:A26"/>
    <mergeCell ref="B24:B26"/>
    <mergeCell ref="C24:C26"/>
    <mergeCell ref="D24:D26"/>
    <mergeCell ref="A27:A28"/>
    <mergeCell ref="B27:B28"/>
    <mergeCell ref="C27:C28"/>
    <mergeCell ref="D27:D28"/>
    <mergeCell ref="A29:A31"/>
    <mergeCell ref="B29:B31"/>
    <mergeCell ref="C29:C31"/>
    <mergeCell ref="D29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8"/>
    <mergeCell ref="B36:B38"/>
    <mergeCell ref="C36:C38"/>
    <mergeCell ref="D36:D38"/>
    <mergeCell ref="A39:A41"/>
    <mergeCell ref="B39:B41"/>
    <mergeCell ref="C39:C41"/>
    <mergeCell ref="D39:D41"/>
    <mergeCell ref="A42:A43"/>
    <mergeCell ref="B42:B43"/>
    <mergeCell ref="C42:C43"/>
    <mergeCell ref="D42:D43"/>
    <mergeCell ref="A44:A46"/>
    <mergeCell ref="B44:B46"/>
    <mergeCell ref="C44:C46"/>
    <mergeCell ref="D44:D46"/>
    <mergeCell ref="A47:A48"/>
    <mergeCell ref="B47:B48"/>
    <mergeCell ref="C47:C48"/>
    <mergeCell ref="D47:D48"/>
    <mergeCell ref="A54:E54"/>
    <mergeCell ref="A55:E55"/>
    <mergeCell ref="A49:A50"/>
    <mergeCell ref="B49:B50"/>
    <mergeCell ref="C49:C50"/>
    <mergeCell ref="D49:D50"/>
    <mergeCell ref="A51:C52"/>
    <mergeCell ref="D51:D52"/>
  </mergeCells>
  <dataValidations count="17">
    <dataValidation type="list" allowBlank="1" showInputMessage="1" showErrorMessage="1" sqref="C7:C9">
      <formula1>$G$7:$G$9</formula1>
    </dataValidation>
    <dataValidation type="list" allowBlank="1" showInputMessage="1" showErrorMessage="1" sqref="C10:C11">
      <formula1>"Академические задолжности отсутствуют, Имеются академические задолжности в учебной группе или у КУГ"</formula1>
    </dataValidation>
    <dataValidation type="list" allowBlank="1" showInputMessage="1" showErrorMessage="1" sqref="C12:C14">
      <formula1>"В подразделении и у КУГ отсутствуют текущие задолжности,Имеются менее 20% текущих задолжностей в подразделении или у КУГ,Имеются более 20% текущих задолжностей в подразделении или у КУГ"</formula1>
    </dataValidation>
    <dataValidation type="list" allowBlank="1" showInputMessage="1" showErrorMessage="1" sqref="C15:C17">
      <formula1>$L$15:$L$17</formula1>
    </dataValidation>
    <dataValidation type="list" allowBlank="1" showInputMessage="1" showErrorMessage="1" sqref="C21:C23">
      <formula1>"Замечания в подразделении и у КУГ отсутствуют,В подразделении 2 замечания у КУГ отсутствуют,В подразделении 3 и более замечаний или замечания у КУГ"</formula1>
    </dataValidation>
    <dataValidation type="list" allowBlank="1" showInputMessage="1" showErrorMessage="1" sqref="C24:C26">
      <formula1>"ПРО, ПРЕ, ГДП в подразделении и КУГ отсутствуют, ПРО, ПРЕ отсутствуют, имеются не снятые взыскания за ГДП в подразделении, у КУГ отсутствуют, Совершено ПРО, ПРЕ, ГДП в подразделении или КУГ или допущено сокрытие"</formula1>
    </dataValidation>
    <dataValidation type="list" allowBlank="1" showInputMessage="1" showErrorMessage="1" sqref="C27:C28">
      <formula1>"Дисциплинарная практика к подчиненному личному составу ведется,Дисциплинарная практика к подчиненному личному составу не реализуется или КУГ имеет дисциплинарные взыскания"</formula1>
    </dataValidation>
    <dataValidation type="list" allowBlank="1" showInputMessage="1" showErrorMessage="1" sqref="C29:C31">
      <formula1>"Обстановкой владеет, доклады представляет, книжка сержантов актуальна,Обстановкой владеет, доклады представляет, книжка сержантов не актуальна,Обстановкой не владеет, доклады не представляет, книжка сержантов не актуальна"</formula1>
    </dataValidation>
    <dataValidation type="list" allowBlank="1" showInputMessage="1" showErrorMessage="1" sqref="C32:C33">
      <formula1>"Подведение итогов актуально, поставлены конкретные задачи и проводится в установленное время,Подведение итогов не актуально, не поставлены задачи или не проводится"</formula1>
    </dataValidation>
    <dataValidation type="list" allowBlank="1" showInputMessage="1" showErrorMessage="1" sqref="C34:C35">
      <formula1>"Увольнения распределены равномерно,Увольнения распределяются не равномерно"</formula1>
    </dataValidation>
    <dataValidation type="list" allowBlank="1" showInputMessage="1" showErrorMessage="1" sqref="C36:C38">
      <formula1>"Наряды и уборщики распределены равномерно,Наряды распределены равномерно, уборщики не равномерно,Наряды и уборщики распределены не равномерно"</formula1>
    </dataValidation>
    <dataValidation type="list" allowBlank="1" showInputMessage="1" showErrorMessage="1" sqref="C39:C41">
      <formula1>"Замечания у подчиненного л/с отсутствуют, КУГ оценен не ниже «хорошо»,Выявлено не более 2 замечаний у подчиненного л/с, КУГ оценен не ниже «хорошо»,Л/с отстранен или выявлено более 2 замечаний, КУГ оценен ниже «хорошо»,"</formula1>
    </dataValidation>
    <dataValidation type="list" allowBlank="1" showInputMessage="1" showErrorMessage="1" sqref="C42:C43">
      <formula1>"Нарушений ТБ, приведших к травматизму л/с нет,Есть нарушения ТБ, приведших к травматизму л/с"</formula1>
    </dataValidation>
    <dataValidation type="list" allowBlank="1" showInputMessage="1" showErrorMessage="1" sqref="C44:C46">
      <formula1>"Элементы распорядка дня соблюдаются,Не более пяти нарушений распорядка дня, срывов мероприятий не допущено,Более пяти нарушений элементов распорядка дня или мероприятие сорвано"</formula1>
    </dataValidation>
    <dataValidation type="list" allowBlank="1" showInputMessage="1" showErrorMessage="1" sqref="C47:C48">
      <formula1>"Материальные средства подразделения в наличии, исправны, обслужены, хранятся правильно,Не выполнены предъявляемые критерии "</formula1>
    </dataValidation>
    <dataValidation type="list" allowBlank="1" showInputMessage="1" showErrorMessage="1" sqref="C49:C50">
      <formula1>"Оценка по физической подготовке (культуре) - 5,Оценка по физической подготовке (культуре) - 4"</formula1>
    </dataValidation>
    <dataValidation type="list" allowBlank="1" showInputMessage="1" showErrorMessage="1" sqref="C18:C20">
      <formula1>$L$18:$L$20</formula1>
    </dataValidation>
  </dataValidations>
  <pageMargins left="0.7" right="0.7" top="0.75" bottom="0.75" header="0.3" footer="0.3"/>
  <pageSetup paperSize="9" orientation="portrait" verticalDpi="0" r:id="rId1"/>
</worksheet>
</file>

<file path=xl/worksheets/sheet47.xml><?xml version="1.0" encoding="utf-8"?>
<worksheet xmlns="http://schemas.openxmlformats.org/spreadsheetml/2006/main" xmlns:r="http://schemas.openxmlformats.org/officeDocument/2006/relationships">
  <sheetPr>
    <tabColor rgb="FFFFC000"/>
  </sheetPr>
  <dimension ref="A1:U46"/>
  <sheetViews>
    <sheetView topLeftCell="A28" zoomScale="85" zoomScaleNormal="85" workbookViewId="0">
      <selection activeCell="C28" sqref="C28:C30"/>
    </sheetView>
  </sheetViews>
  <sheetFormatPr defaultRowHeight="15"/>
  <cols>
    <col min="2" max="2" width="26" customWidth="1"/>
    <col min="3" max="3" width="58.5703125" customWidth="1"/>
    <col min="4" max="4" width="28.42578125" customWidth="1"/>
    <col min="5" max="5" width="24.140625" hidden="1" customWidth="1"/>
    <col min="6" max="6" width="24" hidden="1" customWidth="1"/>
    <col min="7" max="7" width="1.85546875" hidden="1" customWidth="1"/>
    <col min="8" max="8" width="18.42578125" customWidth="1"/>
  </cols>
  <sheetData>
    <row r="1" spans="1:21" ht="20.25">
      <c r="A1" s="56" t="s">
        <v>0</v>
      </c>
      <c r="B1" s="56"/>
      <c r="C1" s="56"/>
      <c r="D1" s="56"/>
      <c r="E1" s="56"/>
    </row>
    <row r="2" spans="1:21" ht="18.75">
      <c r="A2" s="57" t="s">
        <v>1</v>
      </c>
      <c r="B2" s="57"/>
      <c r="C2" s="57"/>
      <c r="D2" s="57"/>
      <c r="E2" s="57"/>
    </row>
    <row r="3" spans="1:21" ht="18.75" customHeight="1">
      <c r="A3" s="58" t="s">
        <v>285</v>
      </c>
      <c r="B3" s="57"/>
      <c r="C3" s="57"/>
      <c r="D3" s="57"/>
      <c r="E3" s="57"/>
    </row>
    <row r="4" spans="1:21" ht="16.5" thickBot="1">
      <c r="A4" s="59"/>
      <c r="B4" s="59"/>
      <c r="C4" s="59"/>
      <c r="D4" s="59"/>
      <c r="E4" s="59"/>
    </row>
    <row r="5" spans="1:21" ht="15.75">
      <c r="A5" s="2" t="s">
        <v>3</v>
      </c>
      <c r="B5" s="60" t="s">
        <v>54</v>
      </c>
      <c r="C5" s="60" t="s">
        <v>55</v>
      </c>
      <c r="D5" s="60" t="s">
        <v>42</v>
      </c>
    </row>
    <row r="6" spans="1:21" ht="16.5" thickBot="1">
      <c r="A6" s="4" t="s">
        <v>4</v>
      </c>
      <c r="B6" s="61"/>
      <c r="C6" s="61"/>
      <c r="D6" s="61"/>
    </row>
    <row r="7" spans="1:21" ht="13.5" customHeight="1">
      <c r="A7" s="39" t="s">
        <v>5</v>
      </c>
      <c r="B7" s="44" t="s">
        <v>6</v>
      </c>
      <c r="C7" s="44" t="s">
        <v>84</v>
      </c>
      <c r="D7" s="44">
        <f>IF(IFERROR(SEARCH("подразделения ≥ 4,5", C7), 0) &gt; 0, 5, IF(IFERROR(SEARCH("подразделения ≥ 4,0", C7), 0) &gt; 0, 3, IF(IFERROR(SEARCH("&lt;", C7), 0) &gt; 0, 0,)))</f>
        <v>0</v>
      </c>
      <c r="F7">
        <v>5</v>
      </c>
      <c r="G7" s="16" t="s">
        <v>82</v>
      </c>
      <c r="N7" s="15"/>
      <c r="U7" s="15"/>
    </row>
    <row r="8" spans="1:21" ht="20.25" customHeight="1">
      <c r="A8" s="51"/>
      <c r="B8" s="54"/>
      <c r="C8" s="52"/>
      <c r="D8" s="52"/>
      <c r="F8">
        <v>3</v>
      </c>
      <c r="G8" s="17" t="s">
        <v>83</v>
      </c>
      <c r="N8" s="13"/>
      <c r="U8" s="13"/>
    </row>
    <row r="9" spans="1:21" ht="18" customHeight="1" thickBot="1">
      <c r="A9" s="40"/>
      <c r="B9" s="55"/>
      <c r="C9" s="45"/>
      <c r="D9" s="45"/>
      <c r="F9">
        <v>0</v>
      </c>
      <c r="G9" s="18" t="s">
        <v>84</v>
      </c>
    </row>
    <row r="10" spans="1:21">
      <c r="A10" s="39" t="s">
        <v>7</v>
      </c>
      <c r="B10" s="44" t="s">
        <v>8</v>
      </c>
      <c r="C10" s="44" t="s">
        <v>85</v>
      </c>
      <c r="D10" s="44">
        <f>IF(IFERROR(SEARCH("отсутствуют", C10), 0) &gt; 0, 10, IF(IFERROR(SEARCH("имеются", C10), 0) &gt; 0, 0, ))</f>
        <v>10</v>
      </c>
      <c r="F10">
        <v>10</v>
      </c>
      <c r="G10" t="s">
        <v>85</v>
      </c>
    </row>
    <row r="11" spans="1:21" ht="24.75" customHeight="1" thickBot="1">
      <c r="A11" s="40"/>
      <c r="B11" s="45"/>
      <c r="C11" s="45"/>
      <c r="D11" s="45"/>
      <c r="F11">
        <v>0</v>
      </c>
      <c r="G11" s="13" t="s">
        <v>86</v>
      </c>
    </row>
    <row r="12" spans="1:21" ht="18" customHeight="1" thickBot="1">
      <c r="A12" s="39" t="s">
        <v>9</v>
      </c>
      <c r="B12" s="44" t="s">
        <v>10</v>
      </c>
      <c r="C12" s="44" t="s">
        <v>87</v>
      </c>
      <c r="D12" s="44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>5</v>
      </c>
      <c r="F12">
        <v>5</v>
      </c>
      <c r="G12" s="14" t="s">
        <v>87</v>
      </c>
    </row>
    <row r="13" spans="1:21" ht="15.75">
      <c r="A13" s="51"/>
      <c r="B13" s="52"/>
      <c r="C13" s="52"/>
      <c r="D13" s="52"/>
      <c r="F13">
        <v>3</v>
      </c>
      <c r="G13" s="13" t="s">
        <v>88</v>
      </c>
    </row>
    <row r="14" spans="1:21" ht="16.5" thickBot="1">
      <c r="A14" s="40"/>
      <c r="B14" s="45"/>
      <c r="C14" s="45"/>
      <c r="D14" s="45"/>
      <c r="F14">
        <v>0</v>
      </c>
      <c r="G14" s="13" t="s">
        <v>89</v>
      </c>
    </row>
    <row r="15" spans="1:21" ht="15.75">
      <c r="A15" s="39" t="s">
        <v>11</v>
      </c>
      <c r="B15" s="44" t="s">
        <v>12</v>
      </c>
      <c r="C15" s="41" t="s">
        <v>90</v>
      </c>
      <c r="D15" s="44">
        <f>IF(IFERROR(SEARCH("Отсутствуют", C15), 0) &gt; 0, 5, IF(IFERROR(SEARCH("Наличие одного", C15), 0) &gt; 0, 3, IF(IFERROR(SEARCH("Наличие двух", C15), 0) &gt; 0, 0,)))</f>
        <v>5</v>
      </c>
      <c r="F15">
        <v>5</v>
      </c>
      <c r="G15" s="19" t="s">
        <v>90</v>
      </c>
    </row>
    <row r="16" spans="1:21" ht="15.75">
      <c r="A16" s="51"/>
      <c r="B16" s="52"/>
      <c r="C16" s="53"/>
      <c r="D16" s="52"/>
      <c r="F16">
        <v>3</v>
      </c>
      <c r="G16" s="13" t="s">
        <v>91</v>
      </c>
    </row>
    <row r="17" spans="1:7" ht="92.25" customHeight="1" thickBot="1">
      <c r="A17" s="40"/>
      <c r="B17" s="45"/>
      <c r="C17" s="43"/>
      <c r="D17" s="45"/>
      <c r="F17">
        <v>0</v>
      </c>
      <c r="G17" s="13" t="s">
        <v>92</v>
      </c>
    </row>
    <row r="18" spans="1:7" ht="15" customHeight="1" thickBot="1">
      <c r="A18" s="39" t="s">
        <v>13</v>
      </c>
      <c r="B18" s="44" t="s">
        <v>14</v>
      </c>
      <c r="C18" s="41" t="s">
        <v>94</v>
      </c>
      <c r="D18" s="44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>2</v>
      </c>
      <c r="F18">
        <v>10</v>
      </c>
      <c r="G18" s="13" t="s">
        <v>93</v>
      </c>
    </row>
    <row r="19" spans="1:7" ht="15" customHeight="1" thickBot="1">
      <c r="A19" s="51"/>
      <c r="B19" s="52"/>
      <c r="C19" s="53"/>
      <c r="D19" s="52"/>
      <c r="F19">
        <v>2</v>
      </c>
      <c r="G19" s="14" t="s">
        <v>94</v>
      </c>
    </row>
    <row r="20" spans="1:7" ht="57" customHeight="1" thickBot="1">
      <c r="A20" s="40"/>
      <c r="B20" s="45"/>
      <c r="C20" s="43"/>
      <c r="D20" s="45"/>
      <c r="F20">
        <v>0</v>
      </c>
      <c r="G20" s="13" t="s">
        <v>95</v>
      </c>
    </row>
    <row r="21" spans="1:7" ht="15.75">
      <c r="A21" s="39" t="s">
        <v>15</v>
      </c>
      <c r="B21" s="44" t="s">
        <v>16</v>
      </c>
      <c r="C21" s="41" t="s">
        <v>96</v>
      </c>
      <c r="D21" s="44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>5</v>
      </c>
      <c r="F21">
        <v>5</v>
      </c>
      <c r="G21" s="13" t="s">
        <v>96</v>
      </c>
    </row>
    <row r="22" spans="1:7" ht="42.75" customHeight="1" thickBot="1">
      <c r="A22" s="40"/>
      <c r="B22" s="45"/>
      <c r="C22" s="43"/>
      <c r="D22" s="45"/>
      <c r="F22">
        <v>0</v>
      </c>
      <c r="G22" s="13" t="s">
        <v>97</v>
      </c>
    </row>
    <row r="23" spans="1:7" ht="15.75">
      <c r="A23" s="39" t="s">
        <v>17</v>
      </c>
      <c r="B23" s="44" t="s">
        <v>18</v>
      </c>
      <c r="C23" s="41" t="s">
        <v>19</v>
      </c>
      <c r="D23" s="44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>10</v>
      </c>
      <c r="F23">
        <v>10</v>
      </c>
      <c r="G23" s="13" t="s">
        <v>19</v>
      </c>
    </row>
    <row r="24" spans="1:7" ht="15.75">
      <c r="A24" s="51"/>
      <c r="B24" s="52"/>
      <c r="C24" s="53"/>
      <c r="D24" s="52"/>
      <c r="F24">
        <v>5</v>
      </c>
      <c r="G24" s="13" t="s">
        <v>98</v>
      </c>
    </row>
    <row r="25" spans="1:7" ht="82.5" customHeight="1" thickBot="1">
      <c r="A25" s="40"/>
      <c r="B25" s="45"/>
      <c r="C25" s="43"/>
      <c r="D25" s="45"/>
      <c r="F25">
        <v>0</v>
      </c>
      <c r="G25" s="13" t="s">
        <v>99</v>
      </c>
    </row>
    <row r="26" spans="1:7" ht="15.75">
      <c r="A26" s="39" t="s">
        <v>20</v>
      </c>
      <c r="B26" s="44" t="s">
        <v>21</v>
      </c>
      <c r="C26" s="41" t="s">
        <v>22</v>
      </c>
      <c r="D26" s="44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>3</v>
      </c>
      <c r="F26">
        <v>3</v>
      </c>
      <c r="G26" s="13" t="s">
        <v>22</v>
      </c>
    </row>
    <row r="27" spans="1:7" ht="41.25" customHeight="1" thickBot="1">
      <c r="A27" s="40"/>
      <c r="B27" s="45"/>
      <c r="C27" s="43"/>
      <c r="D27" s="45"/>
      <c r="F27">
        <v>0</v>
      </c>
      <c r="G27" s="13" t="s">
        <v>100</v>
      </c>
    </row>
    <row r="28" spans="1:7" ht="15.75">
      <c r="A28" s="39" t="s">
        <v>23</v>
      </c>
      <c r="B28" s="44" t="s">
        <v>24</v>
      </c>
      <c r="C28" s="41" t="s">
        <v>102</v>
      </c>
      <c r="D28" s="44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>3</v>
      </c>
      <c r="F28">
        <v>5</v>
      </c>
      <c r="G28" s="13" t="s">
        <v>101</v>
      </c>
    </row>
    <row r="29" spans="1:7" ht="15.75">
      <c r="A29" s="51"/>
      <c r="B29" s="52"/>
      <c r="C29" s="53"/>
      <c r="D29" s="52"/>
      <c r="F29">
        <v>3</v>
      </c>
      <c r="G29" s="13" t="s">
        <v>102</v>
      </c>
    </row>
    <row r="30" spans="1:7" ht="61.5" customHeight="1" thickBot="1">
      <c r="A30" s="40"/>
      <c r="B30" s="45"/>
      <c r="C30" s="43"/>
      <c r="D30" s="45"/>
      <c r="F30">
        <v>0</v>
      </c>
      <c r="G30" s="13" t="s">
        <v>103</v>
      </c>
    </row>
    <row r="31" spans="1:7" ht="15.75">
      <c r="A31" s="39" t="s">
        <v>25</v>
      </c>
      <c r="B31" s="44" t="s">
        <v>26</v>
      </c>
      <c r="C31" s="41" t="s">
        <v>104</v>
      </c>
      <c r="D31" s="44">
        <f>IF(IFERROR(SEARCH("Отсутствуют нарушения ТБ", C31), 0) &gt; 0, 10, IF(IFERROR(SEARCH("Имелись нарушения ТБ", C31), 0) &gt; 0, 0, ))</f>
        <v>10</v>
      </c>
      <c r="F31">
        <v>10</v>
      </c>
      <c r="G31" s="13" t="s">
        <v>104</v>
      </c>
    </row>
    <row r="32" spans="1:7" ht="33.75" customHeight="1" thickBot="1">
      <c r="A32" s="40"/>
      <c r="B32" s="45"/>
      <c r="C32" s="43"/>
      <c r="D32" s="45"/>
      <c r="F32">
        <v>0</v>
      </c>
      <c r="G32" s="13" t="s">
        <v>105</v>
      </c>
    </row>
    <row r="33" spans="1:7" ht="15.75">
      <c r="A33" s="39" t="s">
        <v>27</v>
      </c>
      <c r="B33" s="44" t="s">
        <v>28</v>
      </c>
      <c r="C33" s="41" t="s">
        <v>52</v>
      </c>
      <c r="D33" s="44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>10</v>
      </c>
      <c r="F33">
        <v>10</v>
      </c>
      <c r="G33" s="13" t="s">
        <v>52</v>
      </c>
    </row>
    <row r="34" spans="1:7" ht="15.75">
      <c r="A34" s="51"/>
      <c r="B34" s="52"/>
      <c r="C34" s="53"/>
      <c r="D34" s="52"/>
      <c r="F34">
        <v>5</v>
      </c>
      <c r="G34" s="13" t="s">
        <v>106</v>
      </c>
    </row>
    <row r="35" spans="1:7" ht="18" customHeight="1" thickBot="1">
      <c r="A35" s="40"/>
      <c r="B35" s="45"/>
      <c r="C35" s="43"/>
      <c r="D35" s="45"/>
      <c r="F35">
        <v>0</v>
      </c>
      <c r="G35" s="13" t="s">
        <v>107</v>
      </c>
    </row>
    <row r="36" spans="1:7" ht="15.75">
      <c r="A36" s="39" t="s">
        <v>29</v>
      </c>
      <c r="B36" s="44" t="s">
        <v>30</v>
      </c>
      <c r="C36" s="41" t="s">
        <v>31</v>
      </c>
      <c r="D36" s="44">
        <f>IF(IFERROR(SEARCH("Материальные средства ", C36), 0) &gt; 0, 5, IF(IFERROR(SEARCH("Не выполнены ", C36), 0) &gt; 0, 0, ))</f>
        <v>5</v>
      </c>
      <c r="F36">
        <v>5</v>
      </c>
      <c r="G36" s="13" t="s">
        <v>31</v>
      </c>
    </row>
    <row r="37" spans="1:7" ht="45" customHeight="1" thickBot="1">
      <c r="A37" s="40"/>
      <c r="B37" s="45"/>
      <c r="C37" s="43"/>
      <c r="D37" s="45"/>
      <c r="F37">
        <v>0</v>
      </c>
      <c r="G37" s="13" t="s">
        <v>110</v>
      </c>
    </row>
    <row r="38" spans="1:7" ht="15.75">
      <c r="A38" s="39" t="s">
        <v>32</v>
      </c>
      <c r="B38" s="44" t="s">
        <v>33</v>
      </c>
      <c r="C38" s="41" t="s">
        <v>108</v>
      </c>
      <c r="D38" s="44">
        <f>IF(IFERROR(SEARCH("5", C38), 0) &gt; 0, 2, IF(IFERROR(SEARCH("4", C38), 0) &gt; 0, 1, ))</f>
        <v>2</v>
      </c>
      <c r="F38">
        <v>2</v>
      </c>
      <c r="G38" s="13" t="s">
        <v>108</v>
      </c>
    </row>
    <row r="39" spans="1:7" ht="103.5" customHeight="1" thickBot="1">
      <c r="A39" s="40"/>
      <c r="B39" s="45"/>
      <c r="C39" s="43"/>
      <c r="D39" s="45"/>
      <c r="F39">
        <v>1</v>
      </c>
      <c r="G39" s="13" t="s">
        <v>109</v>
      </c>
    </row>
    <row r="40" spans="1:7">
      <c r="A40" s="46" t="s">
        <v>34</v>
      </c>
      <c r="B40" s="47"/>
      <c r="C40" s="66"/>
      <c r="D40" s="68">
        <f>SUM(D7:D39)</f>
        <v>70</v>
      </c>
      <c r="E40" s="65"/>
    </row>
    <row r="41" spans="1:7" ht="15.75" thickBot="1">
      <c r="A41" s="48"/>
      <c r="B41" s="49"/>
      <c r="C41" s="67"/>
      <c r="D41" s="69"/>
      <c r="E41" s="65"/>
    </row>
    <row r="43" spans="1:7" ht="20.25">
      <c r="A43" s="37" t="s">
        <v>35</v>
      </c>
      <c r="B43" s="37"/>
      <c r="C43" s="37"/>
      <c r="D43" s="5"/>
      <c r="E43" s="5"/>
    </row>
    <row r="44" spans="1:7" ht="20.25">
      <c r="A44" s="37"/>
      <c r="B44" s="37"/>
      <c r="C44" s="37"/>
      <c r="D44" s="6"/>
      <c r="E44" s="6"/>
    </row>
    <row r="45" spans="1:7" ht="20.25">
      <c r="A45" s="5"/>
      <c r="B45" s="5"/>
      <c r="C45" s="5" t="s">
        <v>36</v>
      </c>
      <c r="D45" s="5"/>
      <c r="E45" s="5"/>
    </row>
    <row r="46" spans="1:7" ht="20.25">
      <c r="A46" s="5"/>
      <c r="B46" s="5"/>
      <c r="C46" s="5" t="s">
        <v>279</v>
      </c>
    </row>
  </sheetData>
  <mergeCells count="63">
    <mergeCell ref="A1:E1"/>
    <mergeCell ref="A2:E2"/>
    <mergeCell ref="A3:E3"/>
    <mergeCell ref="A4:E4"/>
    <mergeCell ref="B5:B6"/>
    <mergeCell ref="C5:C6"/>
    <mergeCell ref="D5:D6"/>
    <mergeCell ref="A7:A9"/>
    <mergeCell ref="B7:B9"/>
    <mergeCell ref="C7:C9"/>
    <mergeCell ref="D7:D9"/>
    <mergeCell ref="A10:A11"/>
    <mergeCell ref="B10:B11"/>
    <mergeCell ref="C10:C11"/>
    <mergeCell ref="D10:D11"/>
    <mergeCell ref="A12:A14"/>
    <mergeCell ref="B12:B14"/>
    <mergeCell ref="C12:C14"/>
    <mergeCell ref="D12:D14"/>
    <mergeCell ref="A15:A17"/>
    <mergeCell ref="B15:B17"/>
    <mergeCell ref="C15:C17"/>
    <mergeCell ref="D15:D17"/>
    <mergeCell ref="A18:A20"/>
    <mergeCell ref="B18:B20"/>
    <mergeCell ref="C18:C20"/>
    <mergeCell ref="D18:D20"/>
    <mergeCell ref="A21:A22"/>
    <mergeCell ref="B21:B22"/>
    <mergeCell ref="C21:C22"/>
    <mergeCell ref="D21:D22"/>
    <mergeCell ref="A23:A25"/>
    <mergeCell ref="B23:B25"/>
    <mergeCell ref="C23:C25"/>
    <mergeCell ref="D23:D25"/>
    <mergeCell ref="A26:A27"/>
    <mergeCell ref="B26:B27"/>
    <mergeCell ref="C26:C27"/>
    <mergeCell ref="D26:D27"/>
    <mergeCell ref="A28:A30"/>
    <mergeCell ref="B28:B30"/>
    <mergeCell ref="C28:C30"/>
    <mergeCell ref="D28:D30"/>
    <mergeCell ref="A31:A32"/>
    <mergeCell ref="B31:B32"/>
    <mergeCell ref="C31:C32"/>
    <mergeCell ref="D31:D32"/>
    <mergeCell ref="A33:A35"/>
    <mergeCell ref="B33:B35"/>
    <mergeCell ref="C33:C35"/>
    <mergeCell ref="D33:D35"/>
    <mergeCell ref="A36:A37"/>
    <mergeCell ref="B36:B37"/>
    <mergeCell ref="C36:C37"/>
    <mergeCell ref="D36:D37"/>
    <mergeCell ref="E40:E41"/>
    <mergeCell ref="A43:C44"/>
    <mergeCell ref="A38:A39"/>
    <mergeCell ref="B38:B39"/>
    <mergeCell ref="C38:C39"/>
    <mergeCell ref="D38:D39"/>
    <mergeCell ref="A40:C41"/>
    <mergeCell ref="D40:D41"/>
  </mergeCells>
  <dataValidations count="13">
    <dataValidation type="list" allowBlank="1" showInputMessage="1" showErrorMessage="1" sqref="C38:C39">
      <formula1>$G$38:$G$39</formula1>
    </dataValidation>
    <dataValidation type="list" allowBlank="1" showInputMessage="1" showErrorMessage="1" sqref="C36:C37">
      <formula1>$G$36:$G$37</formula1>
    </dataValidation>
    <dataValidation type="list" allowBlank="1" showInputMessage="1" showErrorMessage="1" sqref="C33:C35">
      <formula1>$G$33:$G$35</formula1>
    </dataValidation>
    <dataValidation type="list" allowBlank="1" showInputMessage="1" showErrorMessage="1" sqref="C31:C32">
      <formula1>$G$31:$G$32</formula1>
    </dataValidation>
    <dataValidation type="list" allowBlank="1" showInputMessage="1" showErrorMessage="1" sqref="C28:C30">
      <formula1>$G$28:$G$30</formula1>
    </dataValidation>
    <dataValidation type="list" allowBlank="1" showInputMessage="1" showErrorMessage="1" sqref="C26:C27">
      <formula1>$G$26:$G$27</formula1>
    </dataValidation>
    <dataValidation type="list" allowBlank="1" showInputMessage="1" showErrorMessage="1" sqref="C23:C25">
      <formula1>$G$23:$G$25</formula1>
    </dataValidation>
    <dataValidation type="list" allowBlank="1" showInputMessage="1" showErrorMessage="1" sqref="C21:C22">
      <formula1>$G$21:$G$22</formula1>
    </dataValidation>
    <dataValidation type="list" allowBlank="1" showInputMessage="1" showErrorMessage="1" sqref="C18:C20">
      <formula1>$G$18:$G$20</formula1>
    </dataValidation>
    <dataValidation type="list" allowBlank="1" showInputMessage="1" showErrorMessage="1" sqref="C15:C17">
      <formula1>$G$15:$G$17</formula1>
    </dataValidation>
    <dataValidation type="list" allowBlank="1" showInputMessage="1" showErrorMessage="1" sqref="C12:C14">
      <formula1>$G$12:$G$14</formula1>
    </dataValidation>
    <dataValidation type="list" allowBlank="1" showInputMessage="1" showErrorMessage="1" sqref="C10:C11">
      <formula1>$G$10:$G$11</formula1>
    </dataValidation>
    <dataValidation type="list" allowBlank="1" showInputMessage="1" showErrorMessage="1" sqref="C7:C9">
      <formula1>$G$7:$G$9</formula1>
    </dataValidation>
  </dataValidation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sheetPr>
    <tabColor rgb="FFFFC000"/>
  </sheetPr>
  <dimension ref="A1:U46"/>
  <sheetViews>
    <sheetView topLeftCell="A31" zoomScale="115" zoomScaleNormal="115" workbookViewId="0">
      <selection activeCell="C28" sqref="C28:C30"/>
    </sheetView>
  </sheetViews>
  <sheetFormatPr defaultRowHeight="15"/>
  <cols>
    <col min="2" max="2" width="26" customWidth="1"/>
    <col min="3" max="3" width="58.5703125" customWidth="1"/>
    <col min="4" max="4" width="28.42578125" customWidth="1"/>
    <col min="5" max="5" width="24.140625" hidden="1" customWidth="1"/>
    <col min="6" max="6" width="24" hidden="1" customWidth="1"/>
    <col min="7" max="7" width="1.85546875" hidden="1" customWidth="1"/>
    <col min="8" max="8" width="18.42578125" customWidth="1"/>
  </cols>
  <sheetData>
    <row r="1" spans="1:21" ht="20.25">
      <c r="A1" s="56" t="s">
        <v>0</v>
      </c>
      <c r="B1" s="56"/>
      <c r="C1" s="56"/>
      <c r="D1" s="56"/>
      <c r="E1" s="56"/>
    </row>
    <row r="2" spans="1:21" ht="18.75">
      <c r="A2" s="57" t="s">
        <v>1</v>
      </c>
      <c r="B2" s="57"/>
      <c r="C2" s="57"/>
      <c r="D2" s="57"/>
      <c r="E2" s="57"/>
    </row>
    <row r="3" spans="1:21" ht="18.75" customHeight="1">
      <c r="A3" s="72" t="s">
        <v>286</v>
      </c>
      <c r="B3" s="73"/>
      <c r="C3" s="73"/>
      <c r="D3" s="73"/>
      <c r="E3" s="73"/>
    </row>
    <row r="4" spans="1:21" ht="16.5" thickBot="1">
      <c r="A4" s="59"/>
      <c r="B4" s="59"/>
      <c r="C4" s="59"/>
      <c r="D4" s="59"/>
      <c r="E4" s="59"/>
    </row>
    <row r="5" spans="1:21" ht="15.75">
      <c r="A5" s="2" t="s">
        <v>3</v>
      </c>
      <c r="B5" s="60" t="s">
        <v>54</v>
      </c>
      <c r="C5" s="60" t="s">
        <v>55</v>
      </c>
      <c r="D5" s="60" t="s">
        <v>42</v>
      </c>
    </row>
    <row r="6" spans="1:21" ht="16.5" thickBot="1">
      <c r="A6" s="4" t="s">
        <v>4</v>
      </c>
      <c r="B6" s="61"/>
      <c r="C6" s="61"/>
      <c r="D6" s="61"/>
    </row>
    <row r="7" spans="1:21" ht="13.5" customHeight="1">
      <c r="A7" s="39" t="s">
        <v>5</v>
      </c>
      <c r="B7" s="44" t="s">
        <v>6</v>
      </c>
      <c r="C7" s="44" t="s">
        <v>83</v>
      </c>
      <c r="D7" s="44">
        <f>IF(IFERROR(SEARCH("подразделения ≥ 4,5", C7), 0) &gt; 0, 5, IF(IFERROR(SEARCH("подразделения ≥ 4,0", C7), 0) &gt; 0, 3, IF(IFERROR(SEARCH("&lt;", C7), 0) &gt; 0, 0,)))</f>
        <v>3</v>
      </c>
      <c r="F7">
        <v>5</v>
      </c>
      <c r="G7" s="16" t="s">
        <v>82</v>
      </c>
      <c r="N7" s="15"/>
      <c r="U7" s="15"/>
    </row>
    <row r="8" spans="1:21" ht="20.25" customHeight="1">
      <c r="A8" s="51"/>
      <c r="B8" s="54"/>
      <c r="C8" s="52"/>
      <c r="D8" s="52"/>
      <c r="F8">
        <v>3</v>
      </c>
      <c r="G8" s="17" t="s">
        <v>83</v>
      </c>
      <c r="N8" s="13"/>
      <c r="U8" s="13"/>
    </row>
    <row r="9" spans="1:21" ht="18" customHeight="1" thickBot="1">
      <c r="A9" s="40"/>
      <c r="B9" s="55"/>
      <c r="C9" s="45"/>
      <c r="D9" s="45"/>
      <c r="F9">
        <v>0</v>
      </c>
      <c r="G9" s="18" t="s">
        <v>84</v>
      </c>
    </row>
    <row r="10" spans="1:21">
      <c r="A10" s="39" t="s">
        <v>7</v>
      </c>
      <c r="B10" s="44" t="s">
        <v>8</v>
      </c>
      <c r="C10" s="44" t="s">
        <v>85</v>
      </c>
      <c r="D10" s="44">
        <f>IF(IFERROR(SEARCH("отсутствуют", C10), 0) &gt; 0, 10, IF(IFERROR(SEARCH("имеются", C10), 0) &gt; 0, 0, ))</f>
        <v>10</v>
      </c>
      <c r="F10">
        <v>10</v>
      </c>
      <c r="G10" t="s">
        <v>85</v>
      </c>
    </row>
    <row r="11" spans="1:21" ht="24.75" customHeight="1" thickBot="1">
      <c r="A11" s="40"/>
      <c r="B11" s="45"/>
      <c r="C11" s="45"/>
      <c r="D11" s="45"/>
      <c r="F11">
        <v>0</v>
      </c>
      <c r="G11" s="13" t="s">
        <v>86</v>
      </c>
    </row>
    <row r="12" spans="1:21" ht="18" customHeight="1" thickBot="1">
      <c r="A12" s="39" t="s">
        <v>9</v>
      </c>
      <c r="B12" s="44" t="s">
        <v>10</v>
      </c>
      <c r="C12" s="44" t="s">
        <v>87</v>
      </c>
      <c r="D12" s="44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>5</v>
      </c>
      <c r="F12">
        <v>5</v>
      </c>
      <c r="G12" s="14" t="s">
        <v>87</v>
      </c>
    </row>
    <row r="13" spans="1:21" ht="15.75">
      <c r="A13" s="51"/>
      <c r="B13" s="52"/>
      <c r="C13" s="52"/>
      <c r="D13" s="52"/>
      <c r="F13">
        <v>3</v>
      </c>
      <c r="G13" s="13" t="s">
        <v>88</v>
      </c>
    </row>
    <row r="14" spans="1:21" ht="16.5" thickBot="1">
      <c r="A14" s="40"/>
      <c r="B14" s="45"/>
      <c r="C14" s="45"/>
      <c r="D14" s="45"/>
      <c r="F14">
        <v>0</v>
      </c>
      <c r="G14" s="13" t="s">
        <v>89</v>
      </c>
    </row>
    <row r="15" spans="1:21" ht="15.75">
      <c r="A15" s="39" t="s">
        <v>11</v>
      </c>
      <c r="B15" s="44" t="s">
        <v>12</v>
      </c>
      <c r="C15" s="41" t="s">
        <v>90</v>
      </c>
      <c r="D15" s="44">
        <f>IF(IFERROR(SEARCH("Отсутствуют", C15), 0) &gt; 0, 5, IF(IFERROR(SEARCH("Наличие одного", C15), 0) &gt; 0, 3, IF(IFERROR(SEARCH("Наличие двух", C15), 0) &gt; 0, 0,)))</f>
        <v>5</v>
      </c>
      <c r="F15">
        <v>5</v>
      </c>
      <c r="G15" s="19" t="s">
        <v>90</v>
      </c>
    </row>
    <row r="16" spans="1:21" ht="15.75">
      <c r="A16" s="51"/>
      <c r="B16" s="52"/>
      <c r="C16" s="53"/>
      <c r="D16" s="52"/>
      <c r="F16">
        <v>3</v>
      </c>
      <c r="G16" s="13" t="s">
        <v>91</v>
      </c>
    </row>
    <row r="17" spans="1:7" ht="92.25" customHeight="1" thickBot="1">
      <c r="A17" s="40"/>
      <c r="B17" s="45"/>
      <c r="C17" s="43"/>
      <c r="D17" s="45"/>
      <c r="F17">
        <v>0</v>
      </c>
      <c r="G17" s="13" t="s">
        <v>92</v>
      </c>
    </row>
    <row r="18" spans="1:7" ht="15" customHeight="1" thickBot="1">
      <c r="A18" s="39" t="s">
        <v>13</v>
      </c>
      <c r="B18" s="44" t="s">
        <v>14</v>
      </c>
      <c r="C18" s="41" t="s">
        <v>94</v>
      </c>
      <c r="D18" s="44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>2</v>
      </c>
      <c r="F18">
        <v>10</v>
      </c>
      <c r="G18" s="13" t="s">
        <v>93</v>
      </c>
    </row>
    <row r="19" spans="1:7" ht="15" customHeight="1" thickBot="1">
      <c r="A19" s="51"/>
      <c r="B19" s="52"/>
      <c r="C19" s="53"/>
      <c r="D19" s="52"/>
      <c r="F19">
        <v>2</v>
      </c>
      <c r="G19" s="14" t="s">
        <v>94</v>
      </c>
    </row>
    <row r="20" spans="1:7" ht="57" customHeight="1" thickBot="1">
      <c r="A20" s="40"/>
      <c r="B20" s="45"/>
      <c r="C20" s="43"/>
      <c r="D20" s="45"/>
      <c r="F20">
        <v>0</v>
      </c>
      <c r="G20" s="13" t="s">
        <v>95</v>
      </c>
    </row>
    <row r="21" spans="1:7" ht="15.75">
      <c r="A21" s="39" t="s">
        <v>15</v>
      </c>
      <c r="B21" s="44" t="s">
        <v>16</v>
      </c>
      <c r="C21" s="41" t="s">
        <v>96</v>
      </c>
      <c r="D21" s="44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>5</v>
      </c>
      <c r="F21">
        <v>5</v>
      </c>
      <c r="G21" s="13" t="s">
        <v>96</v>
      </c>
    </row>
    <row r="22" spans="1:7" ht="42.75" customHeight="1" thickBot="1">
      <c r="A22" s="40"/>
      <c r="B22" s="45"/>
      <c r="C22" s="43"/>
      <c r="D22" s="45"/>
      <c r="F22">
        <v>0</v>
      </c>
      <c r="G22" s="13" t="s">
        <v>97</v>
      </c>
    </row>
    <row r="23" spans="1:7" ht="15.75">
      <c r="A23" s="39" t="s">
        <v>17</v>
      </c>
      <c r="B23" s="44" t="s">
        <v>18</v>
      </c>
      <c r="C23" s="41" t="s">
        <v>19</v>
      </c>
      <c r="D23" s="44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>10</v>
      </c>
      <c r="F23">
        <v>10</v>
      </c>
      <c r="G23" s="13" t="s">
        <v>19</v>
      </c>
    </row>
    <row r="24" spans="1:7" ht="15.75">
      <c r="A24" s="51"/>
      <c r="B24" s="52"/>
      <c r="C24" s="53"/>
      <c r="D24" s="52"/>
      <c r="F24">
        <v>5</v>
      </c>
      <c r="G24" s="13" t="s">
        <v>98</v>
      </c>
    </row>
    <row r="25" spans="1:7" ht="82.5" customHeight="1" thickBot="1">
      <c r="A25" s="40"/>
      <c r="B25" s="45"/>
      <c r="C25" s="43"/>
      <c r="D25" s="45"/>
      <c r="F25">
        <v>0</v>
      </c>
      <c r="G25" s="13" t="s">
        <v>99</v>
      </c>
    </row>
    <row r="26" spans="1:7" ht="15.75">
      <c r="A26" s="39" t="s">
        <v>20</v>
      </c>
      <c r="B26" s="44" t="s">
        <v>21</v>
      </c>
      <c r="C26" s="41" t="s">
        <v>22</v>
      </c>
      <c r="D26" s="44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>3</v>
      </c>
      <c r="F26">
        <v>3</v>
      </c>
      <c r="G26" s="13" t="s">
        <v>22</v>
      </c>
    </row>
    <row r="27" spans="1:7" ht="41.25" customHeight="1" thickBot="1">
      <c r="A27" s="40"/>
      <c r="B27" s="45"/>
      <c r="C27" s="43"/>
      <c r="D27" s="45"/>
      <c r="F27">
        <v>0</v>
      </c>
      <c r="G27" s="13" t="s">
        <v>100</v>
      </c>
    </row>
    <row r="28" spans="1:7" ht="15.75">
      <c r="A28" s="39" t="s">
        <v>23</v>
      </c>
      <c r="B28" s="44" t="s">
        <v>24</v>
      </c>
      <c r="C28" s="41" t="s">
        <v>102</v>
      </c>
      <c r="D28" s="44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>3</v>
      </c>
      <c r="F28">
        <v>5</v>
      </c>
      <c r="G28" s="13" t="s">
        <v>101</v>
      </c>
    </row>
    <row r="29" spans="1:7" ht="15.75">
      <c r="A29" s="51"/>
      <c r="B29" s="52"/>
      <c r="C29" s="53"/>
      <c r="D29" s="52"/>
      <c r="F29">
        <v>3</v>
      </c>
      <c r="G29" s="13" t="s">
        <v>102</v>
      </c>
    </row>
    <row r="30" spans="1:7" ht="61.5" customHeight="1" thickBot="1">
      <c r="A30" s="40"/>
      <c r="B30" s="45"/>
      <c r="C30" s="43"/>
      <c r="D30" s="45"/>
      <c r="F30">
        <v>0</v>
      </c>
      <c r="G30" s="13" t="s">
        <v>103</v>
      </c>
    </row>
    <row r="31" spans="1:7" ht="15.75">
      <c r="A31" s="39" t="s">
        <v>25</v>
      </c>
      <c r="B31" s="44" t="s">
        <v>26</v>
      </c>
      <c r="C31" s="41" t="s">
        <v>104</v>
      </c>
      <c r="D31" s="44">
        <f>IF(IFERROR(SEARCH("Отсутствуют нарушения ТБ", C31), 0) &gt; 0, 10, IF(IFERROR(SEARCH("Имелись нарушения ТБ", C31), 0) &gt; 0, 0, ))</f>
        <v>10</v>
      </c>
      <c r="F31">
        <v>10</v>
      </c>
      <c r="G31" s="13" t="s">
        <v>104</v>
      </c>
    </row>
    <row r="32" spans="1:7" ht="33.75" customHeight="1" thickBot="1">
      <c r="A32" s="40"/>
      <c r="B32" s="45"/>
      <c r="C32" s="43"/>
      <c r="D32" s="45"/>
      <c r="F32">
        <v>0</v>
      </c>
      <c r="G32" s="13" t="s">
        <v>105</v>
      </c>
    </row>
    <row r="33" spans="1:7" ht="15.75">
      <c r="A33" s="39" t="s">
        <v>27</v>
      </c>
      <c r="B33" s="44" t="s">
        <v>28</v>
      </c>
      <c r="C33" s="41" t="s">
        <v>52</v>
      </c>
      <c r="D33" s="44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>10</v>
      </c>
      <c r="F33">
        <v>10</v>
      </c>
      <c r="G33" s="13" t="s">
        <v>52</v>
      </c>
    </row>
    <row r="34" spans="1:7" ht="15.75">
      <c r="A34" s="51"/>
      <c r="B34" s="52"/>
      <c r="C34" s="53"/>
      <c r="D34" s="52"/>
      <c r="F34">
        <v>5</v>
      </c>
      <c r="G34" s="13" t="s">
        <v>106</v>
      </c>
    </row>
    <row r="35" spans="1:7" ht="18" customHeight="1" thickBot="1">
      <c r="A35" s="40"/>
      <c r="B35" s="45"/>
      <c r="C35" s="43"/>
      <c r="D35" s="45"/>
      <c r="F35">
        <v>0</v>
      </c>
      <c r="G35" s="13" t="s">
        <v>107</v>
      </c>
    </row>
    <row r="36" spans="1:7" ht="15.75">
      <c r="A36" s="39" t="s">
        <v>29</v>
      </c>
      <c r="B36" s="44" t="s">
        <v>30</v>
      </c>
      <c r="C36" s="41" t="s">
        <v>31</v>
      </c>
      <c r="D36" s="44">
        <f>IF(IFERROR(SEARCH("Материальные средства ", C36), 0) &gt; 0, 5, IF(IFERROR(SEARCH("Не выполнены ", C36), 0) &gt; 0, 0, ))</f>
        <v>5</v>
      </c>
      <c r="F36">
        <v>5</v>
      </c>
      <c r="G36" s="13" t="s">
        <v>31</v>
      </c>
    </row>
    <row r="37" spans="1:7" ht="45" customHeight="1" thickBot="1">
      <c r="A37" s="40"/>
      <c r="B37" s="45"/>
      <c r="C37" s="43"/>
      <c r="D37" s="45"/>
      <c r="F37">
        <v>0</v>
      </c>
      <c r="G37" s="13" t="s">
        <v>110</v>
      </c>
    </row>
    <row r="38" spans="1:7" ht="15.75">
      <c r="A38" s="39" t="s">
        <v>32</v>
      </c>
      <c r="B38" s="44" t="s">
        <v>33</v>
      </c>
      <c r="C38" s="41" t="s">
        <v>108</v>
      </c>
      <c r="D38" s="44">
        <f>IF(IFERROR(SEARCH("5", C38), 0) &gt; 0, 2, IF(IFERROR(SEARCH("4", C38), 0) &gt; 0, 1, ))</f>
        <v>2</v>
      </c>
      <c r="F38">
        <v>2</v>
      </c>
      <c r="G38" s="13" t="s">
        <v>108</v>
      </c>
    </row>
    <row r="39" spans="1:7" ht="103.5" customHeight="1" thickBot="1">
      <c r="A39" s="40"/>
      <c r="B39" s="45"/>
      <c r="C39" s="43"/>
      <c r="D39" s="45"/>
      <c r="F39">
        <v>1</v>
      </c>
      <c r="G39" s="13" t="s">
        <v>109</v>
      </c>
    </row>
    <row r="40" spans="1:7">
      <c r="A40" s="46" t="s">
        <v>34</v>
      </c>
      <c r="B40" s="47"/>
      <c r="C40" s="66"/>
      <c r="D40" s="68">
        <f>SUM(D7:D39)</f>
        <v>73</v>
      </c>
      <c r="E40" s="65"/>
    </row>
    <row r="41" spans="1:7" ht="15.75" thickBot="1">
      <c r="A41" s="48"/>
      <c r="B41" s="49"/>
      <c r="C41" s="67"/>
      <c r="D41" s="69"/>
      <c r="E41" s="65"/>
    </row>
    <row r="43" spans="1:7" ht="20.25">
      <c r="A43" s="37" t="s">
        <v>35</v>
      </c>
      <c r="B43" s="37"/>
      <c r="C43" s="37"/>
      <c r="D43" s="5"/>
      <c r="E43" s="5"/>
    </row>
    <row r="44" spans="1:7" ht="20.25">
      <c r="A44" s="37"/>
      <c r="B44" s="37"/>
      <c r="C44" s="37"/>
      <c r="D44" s="6"/>
      <c r="E44" s="6"/>
    </row>
    <row r="45" spans="1:7" ht="20.25">
      <c r="A45" s="5"/>
      <c r="B45" s="5"/>
      <c r="C45" s="5" t="s">
        <v>36</v>
      </c>
      <c r="D45" s="5"/>
      <c r="E45" s="5"/>
    </row>
    <row r="46" spans="1:7" ht="20.25">
      <c r="A46" s="5"/>
      <c r="B46" s="5"/>
      <c r="C46" s="5" t="s">
        <v>279</v>
      </c>
    </row>
  </sheetData>
  <mergeCells count="63">
    <mergeCell ref="A1:E1"/>
    <mergeCell ref="A2:E2"/>
    <mergeCell ref="A3:E3"/>
    <mergeCell ref="A4:E4"/>
    <mergeCell ref="B5:B6"/>
    <mergeCell ref="C5:C6"/>
    <mergeCell ref="D5:D6"/>
    <mergeCell ref="A7:A9"/>
    <mergeCell ref="B7:B9"/>
    <mergeCell ref="C7:C9"/>
    <mergeCell ref="D7:D9"/>
    <mergeCell ref="A10:A11"/>
    <mergeCell ref="B10:B11"/>
    <mergeCell ref="C10:C11"/>
    <mergeCell ref="D10:D11"/>
    <mergeCell ref="A12:A14"/>
    <mergeCell ref="B12:B14"/>
    <mergeCell ref="C12:C14"/>
    <mergeCell ref="D12:D14"/>
    <mergeCell ref="A15:A17"/>
    <mergeCell ref="B15:B17"/>
    <mergeCell ref="C15:C17"/>
    <mergeCell ref="D15:D17"/>
    <mergeCell ref="A18:A20"/>
    <mergeCell ref="B18:B20"/>
    <mergeCell ref="C18:C20"/>
    <mergeCell ref="D18:D20"/>
    <mergeCell ref="A21:A22"/>
    <mergeCell ref="B21:B22"/>
    <mergeCell ref="C21:C22"/>
    <mergeCell ref="D21:D22"/>
    <mergeCell ref="A23:A25"/>
    <mergeCell ref="B23:B25"/>
    <mergeCell ref="C23:C25"/>
    <mergeCell ref="D23:D25"/>
    <mergeCell ref="A26:A27"/>
    <mergeCell ref="B26:B27"/>
    <mergeCell ref="C26:C27"/>
    <mergeCell ref="D26:D27"/>
    <mergeCell ref="A28:A30"/>
    <mergeCell ref="B28:B30"/>
    <mergeCell ref="C28:C30"/>
    <mergeCell ref="D28:D30"/>
    <mergeCell ref="A31:A32"/>
    <mergeCell ref="B31:B32"/>
    <mergeCell ref="C31:C32"/>
    <mergeCell ref="D31:D32"/>
    <mergeCell ref="A33:A35"/>
    <mergeCell ref="B33:B35"/>
    <mergeCell ref="C33:C35"/>
    <mergeCell ref="D33:D35"/>
    <mergeCell ref="A36:A37"/>
    <mergeCell ref="B36:B37"/>
    <mergeCell ref="C36:C37"/>
    <mergeCell ref="D36:D37"/>
    <mergeCell ref="E40:E41"/>
    <mergeCell ref="A43:C44"/>
    <mergeCell ref="A38:A39"/>
    <mergeCell ref="B38:B39"/>
    <mergeCell ref="C38:C39"/>
    <mergeCell ref="D38:D39"/>
    <mergeCell ref="A40:C41"/>
    <mergeCell ref="D40:D41"/>
  </mergeCells>
  <dataValidations count="13">
    <dataValidation type="list" allowBlank="1" showInputMessage="1" showErrorMessage="1" sqref="C7:C9">
      <formula1>$G$7:$G$9</formula1>
    </dataValidation>
    <dataValidation type="list" allowBlank="1" showInputMessage="1" showErrorMessage="1" sqref="C10:C11">
      <formula1>$G$10:$G$11</formula1>
    </dataValidation>
    <dataValidation type="list" allowBlank="1" showInputMessage="1" showErrorMessage="1" sqref="C12:C14">
      <formula1>$G$12:$G$14</formula1>
    </dataValidation>
    <dataValidation type="list" allowBlank="1" showInputMessage="1" showErrorMessage="1" sqref="C15:C17">
      <formula1>$G$15:$G$17</formula1>
    </dataValidation>
    <dataValidation type="list" allowBlank="1" showInputMessage="1" showErrorMessage="1" sqref="C18:C20">
      <formula1>$G$18:$G$20</formula1>
    </dataValidation>
    <dataValidation type="list" allowBlank="1" showInputMessage="1" showErrorMessage="1" sqref="C21:C22">
      <formula1>$G$21:$G$22</formula1>
    </dataValidation>
    <dataValidation type="list" allowBlank="1" showInputMessage="1" showErrorMessage="1" sqref="C23:C25">
      <formula1>$G$23:$G$25</formula1>
    </dataValidation>
    <dataValidation type="list" allowBlank="1" showInputMessage="1" showErrorMessage="1" sqref="C26:C27">
      <formula1>$G$26:$G$27</formula1>
    </dataValidation>
    <dataValidation type="list" allowBlank="1" showInputMessage="1" showErrorMessage="1" sqref="C28:C30">
      <formula1>$G$28:$G$30</formula1>
    </dataValidation>
    <dataValidation type="list" allowBlank="1" showInputMessage="1" showErrorMessage="1" sqref="C31:C32">
      <formula1>$G$31:$G$32</formula1>
    </dataValidation>
    <dataValidation type="list" allowBlank="1" showInputMessage="1" showErrorMessage="1" sqref="C33:C35">
      <formula1>$G$33:$G$35</formula1>
    </dataValidation>
    <dataValidation type="list" allowBlank="1" showInputMessage="1" showErrorMessage="1" sqref="C36:C37">
      <formula1>$G$36:$G$37</formula1>
    </dataValidation>
    <dataValidation type="list" allowBlank="1" showInputMessage="1" showErrorMessage="1" sqref="C38:C39">
      <formula1>$G$38:$G$39</formula1>
    </dataValidation>
  </dataValidation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sheetPr>
    <tabColor rgb="FFFFC000"/>
  </sheetPr>
  <dimension ref="A1:L56"/>
  <sheetViews>
    <sheetView zoomScale="70" zoomScaleNormal="70" workbookViewId="0">
      <selection activeCell="G1" sqref="G1:L1048576"/>
    </sheetView>
  </sheetViews>
  <sheetFormatPr defaultRowHeight="15"/>
  <cols>
    <col min="2" max="2" width="26" customWidth="1"/>
    <col min="3" max="3" width="58.5703125" customWidth="1"/>
    <col min="4" max="4" width="28.5703125" customWidth="1"/>
    <col min="5" max="5" width="0.140625" customWidth="1"/>
    <col min="6" max="6" width="0.42578125" customWidth="1"/>
    <col min="7" max="11" width="9.140625" hidden="1" customWidth="1"/>
    <col min="12" max="12" width="12" hidden="1" customWidth="1"/>
    <col min="13" max="13" width="9.140625" customWidth="1"/>
  </cols>
  <sheetData>
    <row r="1" spans="1:12" ht="20.25">
      <c r="A1" s="56" t="s">
        <v>0</v>
      </c>
      <c r="B1" s="56"/>
      <c r="C1" s="56"/>
      <c r="D1" s="56"/>
      <c r="E1" s="56"/>
    </row>
    <row r="2" spans="1:12" ht="18.75">
      <c r="A2" s="57" t="s">
        <v>1</v>
      </c>
      <c r="B2" s="57"/>
      <c r="C2" s="57"/>
      <c r="D2" s="57"/>
      <c r="E2" s="57"/>
    </row>
    <row r="3" spans="1:12" ht="18.75" customHeight="1">
      <c r="A3" s="58" t="s">
        <v>287</v>
      </c>
      <c r="B3" s="57"/>
      <c r="C3" s="57"/>
      <c r="D3" s="57"/>
      <c r="E3" s="57"/>
    </row>
    <row r="4" spans="1:12" ht="16.5" thickBot="1">
      <c r="A4" s="59"/>
      <c r="B4" s="59"/>
      <c r="C4" s="59"/>
      <c r="D4" s="59"/>
      <c r="E4" s="59"/>
    </row>
    <row r="5" spans="1:12" ht="15.75" customHeight="1">
      <c r="A5" s="2" t="s">
        <v>3</v>
      </c>
      <c r="B5" s="60" t="s">
        <v>54</v>
      </c>
      <c r="C5" s="60" t="s">
        <v>55</v>
      </c>
      <c r="D5" s="60" t="s">
        <v>42</v>
      </c>
    </row>
    <row r="6" spans="1:12" ht="16.5" thickBot="1">
      <c r="A6" s="4" t="s">
        <v>4</v>
      </c>
      <c r="B6" s="61"/>
      <c r="C6" s="61"/>
      <c r="D6" s="61"/>
    </row>
    <row r="7" spans="1:12" ht="15" customHeight="1">
      <c r="A7" s="39" t="s">
        <v>5</v>
      </c>
      <c r="B7" s="44" t="s">
        <v>6</v>
      </c>
      <c r="C7" s="44" t="s">
        <v>343</v>
      </c>
      <c r="D7" s="44">
        <f>IF(IFERROR(SEARCH("подразделения ≥ 4,5", C7), 0) &gt; 0, 5, IF(IFERROR(SEARCH("подразделения ≥ 4,0", C7), 0) &gt; 0, 3, IF(IFERROR(SEARCH("&lt;", C7), 0) &gt; 0, 0,)))</f>
        <v>3</v>
      </c>
      <c r="F7">
        <v>5</v>
      </c>
      <c r="G7" s="16" t="s">
        <v>344</v>
      </c>
    </row>
    <row r="8" spans="1:12" ht="15" customHeight="1">
      <c r="A8" s="51"/>
      <c r="B8" s="54"/>
      <c r="C8" s="52"/>
      <c r="D8" s="52"/>
      <c r="F8">
        <v>3</v>
      </c>
      <c r="G8" s="17" t="s">
        <v>343</v>
      </c>
    </row>
    <row r="9" spans="1:12" ht="18.75" customHeight="1" thickBot="1">
      <c r="A9" s="40"/>
      <c r="B9" s="55"/>
      <c r="C9" s="45"/>
      <c r="D9" s="45"/>
      <c r="F9">
        <v>0</v>
      </c>
      <c r="G9" s="18" t="s">
        <v>345</v>
      </c>
    </row>
    <row r="10" spans="1:12" ht="15" customHeight="1">
      <c r="A10" s="39" t="s">
        <v>7</v>
      </c>
      <c r="B10" s="44" t="s">
        <v>8</v>
      </c>
      <c r="C10" s="44" t="s">
        <v>70</v>
      </c>
      <c r="D10" s="44">
        <f>IF(C10="Академические задолжности отсутствуют",10,0)</f>
        <v>0</v>
      </c>
      <c r="F10">
        <v>10</v>
      </c>
    </row>
    <row r="11" spans="1:12" ht="15.75" customHeight="1" thickBot="1">
      <c r="A11" s="40"/>
      <c r="B11" s="45"/>
      <c r="C11" s="45"/>
      <c r="D11" s="45"/>
      <c r="F11">
        <v>0</v>
      </c>
    </row>
    <row r="12" spans="1:12" ht="15" customHeight="1">
      <c r="A12" s="39" t="s">
        <v>9</v>
      </c>
      <c r="B12" s="44" t="s">
        <v>10</v>
      </c>
      <c r="C12" s="44" t="s">
        <v>266</v>
      </c>
      <c r="D12" s="44">
        <f>IF(C12="В подразделении и у КУГ отсутствуют текущие задолжности",5,IF(C12="Имеются менее 20% текущих задолжностей в подразделении или у КУГ",3,IF(C12="Имеются более 20% текущих задолжностей в подразделении или у КУГ",0,)))</f>
        <v>5</v>
      </c>
      <c r="F12">
        <v>5</v>
      </c>
    </row>
    <row r="13" spans="1:12" ht="15" customHeight="1">
      <c r="A13" s="51"/>
      <c r="B13" s="52"/>
      <c r="C13" s="52"/>
      <c r="D13" s="52"/>
      <c r="F13">
        <v>3</v>
      </c>
    </row>
    <row r="14" spans="1:12" ht="15.75" customHeight="1" thickBot="1">
      <c r="A14" s="40"/>
      <c r="B14" s="45"/>
      <c r="C14" s="45"/>
      <c r="D14" s="45"/>
      <c r="F14">
        <v>0</v>
      </c>
    </row>
    <row r="15" spans="1:12" ht="15" customHeight="1">
      <c r="A15" s="39" t="s">
        <v>11</v>
      </c>
      <c r="B15" s="44" t="s">
        <v>39</v>
      </c>
      <c r="C15" s="64" t="s">
        <v>77</v>
      </c>
      <c r="D15" s="44">
        <f>IF(C15="Подразделение прибыло на занятие своевременно; дежурный по аудитории назначен; ЖУУЗ и классная доска оформлены; литература, конспекты, ПЭВМ (по необходимости) получены; внутренний порядок в аудитории поддерживается",5,IF(C15="Подразделение прибыло на занятие своевременно; дежурный по аудитории назначен; литература, конспекты, ПЭВМ (по необходимости) получены; ЖУУЗ или классная доска оформлены не своевременно; или имеются отклонения по  внутреннему порядку в аудитории",3,IF(C15="одразделение опоздало на занятие; или ЖУУЗ и классная доска не оформлены; литература, конспекты, ПЭВМ (по необходимости) не получены; или внутренний порядок в аудитории не поддерживается ",0,)))</f>
        <v>3</v>
      </c>
      <c r="F15">
        <v>5</v>
      </c>
      <c r="L15" s="13" t="s">
        <v>40</v>
      </c>
    </row>
    <row r="16" spans="1:12" ht="15" customHeight="1">
      <c r="A16" s="51"/>
      <c r="B16" s="52"/>
      <c r="C16" s="62"/>
      <c r="D16" s="52"/>
      <c r="F16">
        <v>3</v>
      </c>
      <c r="L16" s="13" t="s">
        <v>77</v>
      </c>
    </row>
    <row r="17" spans="1:12" ht="52.5" customHeight="1" thickBot="1">
      <c r="A17" s="40"/>
      <c r="B17" s="45"/>
      <c r="C17" s="63"/>
      <c r="D17" s="45"/>
      <c r="F17">
        <v>0</v>
      </c>
      <c r="L17" t="s">
        <v>78</v>
      </c>
    </row>
    <row r="18" spans="1:12" ht="15" customHeight="1" thickBot="1">
      <c r="A18" s="39" t="s">
        <v>13</v>
      </c>
      <c r="B18" s="44" t="s">
        <v>41</v>
      </c>
      <c r="C18" s="64" t="s">
        <v>81</v>
      </c>
      <c r="D18" s="44">
        <f>IF(IFERROR(SEARCH("30%", C18), 0) &gt; 0, 5, IF(IFERROR(SEARCH("10%", C18), 0) &gt; 0, 3, IF(IFERROR(SEARCH("не получены", C18), 0) &gt; 0, 0,)))</f>
        <v>0</v>
      </c>
      <c r="F18">
        <v>10</v>
      </c>
      <c r="L18" s="14" t="s">
        <v>79</v>
      </c>
    </row>
    <row r="19" spans="1:12" ht="15" customHeight="1">
      <c r="A19" s="51"/>
      <c r="B19" s="52"/>
      <c r="C19" s="62"/>
      <c r="D19" s="52"/>
      <c r="F19">
        <v>2</v>
      </c>
      <c r="L19" s="13" t="s">
        <v>80</v>
      </c>
    </row>
    <row r="20" spans="1:12" ht="105" customHeight="1" thickBot="1">
      <c r="A20" s="40"/>
      <c r="B20" s="45"/>
      <c r="C20" s="63"/>
      <c r="D20" s="45"/>
      <c r="F20">
        <v>0</v>
      </c>
      <c r="L20" s="13" t="s">
        <v>81</v>
      </c>
    </row>
    <row r="21" spans="1:12" ht="15" customHeight="1">
      <c r="A21" s="39" t="s">
        <v>15</v>
      </c>
      <c r="B21" s="44" t="s">
        <v>12</v>
      </c>
      <c r="C21" s="41" t="s">
        <v>73</v>
      </c>
      <c r="D21" s="44">
        <f>IF(C21="Замечания в подразделении и у КУГ отсутствуют",5,IF(C21="В подразделении 2 замечания у КУГ отсутствуют",3,IF(C21="В подразделении 3 и более замечаний или замечания у КУГ",0,)))</f>
        <v>5</v>
      </c>
      <c r="F21">
        <v>5</v>
      </c>
    </row>
    <row r="22" spans="1:12" ht="15.75" customHeight="1">
      <c r="A22" s="51"/>
      <c r="B22" s="52"/>
      <c r="C22" s="53"/>
      <c r="D22" s="52"/>
      <c r="F22">
        <v>0</v>
      </c>
    </row>
    <row r="23" spans="1:12" ht="82.5" customHeight="1" thickBot="1">
      <c r="A23" s="40"/>
      <c r="B23" s="45"/>
      <c r="C23" s="43"/>
      <c r="D23" s="45"/>
      <c r="F23">
        <v>10</v>
      </c>
    </row>
    <row r="24" spans="1:12" ht="15" customHeight="1">
      <c r="A24" s="39" t="s">
        <v>17</v>
      </c>
      <c r="B24" s="44" t="s">
        <v>14</v>
      </c>
      <c r="C24" s="41" t="s">
        <v>262</v>
      </c>
      <c r="D24" s="44">
        <f>IF(C24="ПРО, ПРЕ, ГДП в подразделении и КУГ отсутствуют",10,IF(C24="ПРО, ПРЕ отсутствуют, имеются не снятые взыскания за ГДП в подразделении, у КУГ отсутствуют",2,IF(C24="Совершено ПРО, ПРЕ, ГДП в подразделении или КУГ или допущено сокрытие",0,)))</f>
        <v>10</v>
      </c>
      <c r="F24">
        <v>5</v>
      </c>
    </row>
    <row r="25" spans="1:12" ht="15.75" customHeight="1">
      <c r="A25" s="51"/>
      <c r="B25" s="52"/>
      <c r="C25" s="53"/>
      <c r="D25" s="52"/>
      <c r="F25">
        <v>0</v>
      </c>
    </row>
    <row r="26" spans="1:12" ht="52.5" customHeight="1" thickBot="1">
      <c r="A26" s="40"/>
      <c r="B26" s="45"/>
      <c r="C26" s="43"/>
      <c r="D26" s="45"/>
      <c r="F26">
        <v>3</v>
      </c>
    </row>
    <row r="27" spans="1:12" ht="15.75" customHeight="1">
      <c r="A27" s="39" t="s">
        <v>20</v>
      </c>
      <c r="B27" s="44" t="s">
        <v>16</v>
      </c>
      <c r="C27" s="41" t="s">
        <v>57</v>
      </c>
      <c r="D27" s="44">
        <f>IF(C27="Дисциплинарная практика к подчиненному личному составу ведется",5,0)</f>
        <v>5</v>
      </c>
      <c r="F27">
        <v>0</v>
      </c>
    </row>
    <row r="28" spans="1:12" ht="15" customHeight="1" thickBot="1">
      <c r="A28" s="40"/>
      <c r="B28" s="45"/>
      <c r="C28" s="43"/>
      <c r="D28" s="45"/>
      <c r="F28">
        <v>5</v>
      </c>
    </row>
    <row r="29" spans="1:12" ht="15" customHeight="1">
      <c r="A29" s="39" t="s">
        <v>23</v>
      </c>
      <c r="B29" s="44" t="s">
        <v>18</v>
      </c>
      <c r="C29" s="41" t="s">
        <v>60</v>
      </c>
      <c r="D29" s="44">
        <f>IF(C29="Обстановкой владеет, доклады представляет, книжка сержантов актуальна",10,IF(C29="Обстановкой владеет, доклады представляет, книжка сержантов не актуальна",5,IF(C29="Обстановкой не владеет, доклады не представляет, книжка сержантов не актуальна",0,)))</f>
        <v>10</v>
      </c>
      <c r="F29">
        <v>3</v>
      </c>
    </row>
    <row r="30" spans="1:12" ht="15.75" customHeight="1">
      <c r="A30" s="51"/>
      <c r="B30" s="52"/>
      <c r="C30" s="53"/>
      <c r="D30" s="52"/>
      <c r="F30">
        <v>0</v>
      </c>
    </row>
    <row r="31" spans="1:12" ht="105" customHeight="1" thickBot="1">
      <c r="A31" s="40"/>
      <c r="B31" s="45"/>
      <c r="C31" s="43"/>
      <c r="D31" s="45"/>
      <c r="F31">
        <v>10</v>
      </c>
    </row>
    <row r="32" spans="1:12" ht="26.25" customHeight="1">
      <c r="A32" s="39" t="s">
        <v>25</v>
      </c>
      <c r="B32" s="44" t="s">
        <v>21</v>
      </c>
      <c r="C32" s="41" t="s">
        <v>267</v>
      </c>
      <c r="D32" s="44">
        <f>IF(C32="Подведение итогов актуально, поставлены конкретные задачи и проводится в установленное время",3,0)</f>
        <v>0</v>
      </c>
      <c r="F32">
        <v>0</v>
      </c>
    </row>
    <row r="33" spans="1:6" ht="30" customHeight="1" thickBot="1">
      <c r="A33" s="40"/>
      <c r="B33" s="45"/>
      <c r="C33" s="43"/>
      <c r="D33" s="45"/>
      <c r="F33">
        <v>10</v>
      </c>
    </row>
    <row r="34" spans="1:6" ht="15" customHeight="1">
      <c r="A34" s="51" t="s">
        <v>27</v>
      </c>
      <c r="B34" s="52" t="s">
        <v>43</v>
      </c>
      <c r="C34" s="41" t="s">
        <v>76</v>
      </c>
      <c r="D34" s="62">
        <f>IF(C34="Увольнения распределены равномерно",2,0)</f>
        <v>0</v>
      </c>
      <c r="F34">
        <v>5</v>
      </c>
    </row>
    <row r="35" spans="1:6" ht="15.75" customHeight="1" thickBot="1">
      <c r="A35" s="40"/>
      <c r="B35" s="45"/>
      <c r="C35" s="43"/>
      <c r="D35" s="63"/>
      <c r="F35">
        <v>0</v>
      </c>
    </row>
    <row r="36" spans="1:6" ht="15" customHeight="1">
      <c r="A36" s="39" t="s">
        <v>29</v>
      </c>
      <c r="B36" s="44" t="s">
        <v>44</v>
      </c>
      <c r="C36" s="44" t="s">
        <v>62</v>
      </c>
      <c r="D36" s="64">
        <f>IF(C36="Наряды и уборщики распределены равномерно",2,IF(C36="Наряды распределены равномерно, уборщики не равномерно",1,IF(C36="Наряды и уборщики распределены не равномерно",0,)))</f>
        <v>1</v>
      </c>
      <c r="F36">
        <v>5</v>
      </c>
    </row>
    <row r="37" spans="1:6" ht="15.75" customHeight="1">
      <c r="A37" s="51"/>
      <c r="B37" s="52"/>
      <c r="C37" s="52"/>
      <c r="D37" s="62"/>
      <c r="F37">
        <v>0</v>
      </c>
    </row>
    <row r="38" spans="1:6" ht="38.25" customHeight="1" thickBot="1">
      <c r="A38" s="40"/>
      <c r="B38" s="45"/>
      <c r="C38" s="45"/>
      <c r="D38" s="63"/>
      <c r="F38">
        <v>2</v>
      </c>
    </row>
    <row r="39" spans="1:6" ht="15.75" customHeight="1">
      <c r="A39" s="39" t="s">
        <v>32</v>
      </c>
      <c r="B39" s="44" t="s">
        <v>24</v>
      </c>
      <c r="C39" s="41" t="s">
        <v>264</v>
      </c>
      <c r="D39" s="44">
        <f>IF(C39="Замечания у подчиненного л/с отсутствуют, КУГ оценен не ниже «хорошо»",5,IF(C39="Выявлено не более 2 замечаний у подчиненного л/с, КУГ оценен не ниже «хорошо»",3,IF(C39="Л/с отстранен или выявлено более 2 замечаний, КУГ оценен ниже «хорошо»",0,)))</f>
        <v>5</v>
      </c>
      <c r="F39">
        <v>1</v>
      </c>
    </row>
    <row r="40" spans="1:6" ht="15" customHeight="1">
      <c r="A40" s="51"/>
      <c r="B40" s="52"/>
      <c r="C40" s="53"/>
      <c r="D40" s="52"/>
    </row>
    <row r="41" spans="1:6" ht="40.5" customHeight="1" thickBot="1">
      <c r="A41" s="40"/>
      <c r="B41" s="45"/>
      <c r="C41" s="43"/>
      <c r="D41" s="45"/>
    </row>
    <row r="42" spans="1:6">
      <c r="A42" s="39" t="s">
        <v>45</v>
      </c>
      <c r="B42" s="44" t="s">
        <v>26</v>
      </c>
      <c r="C42" s="41" t="s">
        <v>338</v>
      </c>
      <c r="D42" s="44">
        <f>IF(C42="Нарушений ТБ, приведших к травматизму л/с нет",10,0)</f>
        <v>0</v>
      </c>
    </row>
    <row r="43" spans="1:6" ht="44.25" customHeight="1" thickBot="1">
      <c r="A43" s="40"/>
      <c r="B43" s="45"/>
      <c r="C43" s="43"/>
      <c r="D43" s="45"/>
    </row>
    <row r="44" spans="1:6">
      <c r="A44" s="39" t="s">
        <v>46</v>
      </c>
      <c r="B44" s="44" t="s">
        <v>28</v>
      </c>
      <c r="C44" s="41" t="s">
        <v>66</v>
      </c>
      <c r="D44" s="44">
        <f>IF(C44="Элементы распорядка дня соблюдаются",10,IF(C44="Не более пяти нарушений распорядка дня, срывов мероприятий не допущено",5,IF(C44="Более пяти нарушений элементов распорядка дня или мероприятие сорвано",0,)))</f>
        <v>5</v>
      </c>
    </row>
    <row r="45" spans="1:6">
      <c r="A45" s="51"/>
      <c r="B45" s="52"/>
      <c r="C45" s="53"/>
      <c r="D45" s="52"/>
    </row>
    <row r="46" spans="1:6" ht="15.75" thickBot="1">
      <c r="A46" s="40"/>
      <c r="B46" s="45"/>
      <c r="C46" s="43"/>
      <c r="D46" s="45"/>
    </row>
    <row r="47" spans="1:6">
      <c r="A47" s="39" t="s">
        <v>47</v>
      </c>
      <c r="B47" s="44" t="s">
        <v>30</v>
      </c>
      <c r="C47" s="41" t="s">
        <v>67</v>
      </c>
      <c r="D47" s="44">
        <f>IF(C47="Материальные средства подразделения в наличии, исправны, обслужены, хранятся правильно",5,0)</f>
        <v>0</v>
      </c>
    </row>
    <row r="48" spans="1:6" ht="45" customHeight="1" thickBot="1">
      <c r="A48" s="40"/>
      <c r="B48" s="45"/>
      <c r="C48" s="43"/>
      <c r="D48" s="45"/>
    </row>
    <row r="49" spans="1:5">
      <c r="A49" s="39" t="s">
        <v>48</v>
      </c>
      <c r="B49" s="44" t="s">
        <v>33</v>
      </c>
      <c r="C49" s="41" t="s">
        <v>68</v>
      </c>
      <c r="D49" s="44">
        <f>IF(C49="Оценка по физической подготовке (культуре) - 5",2,1)</f>
        <v>1</v>
      </c>
    </row>
    <row r="50" spans="1:5" ht="97.5" customHeight="1" thickBot="1">
      <c r="A50" s="40"/>
      <c r="B50" s="45"/>
      <c r="C50" s="43"/>
      <c r="D50" s="45"/>
    </row>
    <row r="51" spans="1:5" ht="15.75">
      <c r="A51" s="46" t="s">
        <v>34</v>
      </c>
      <c r="B51" s="47"/>
      <c r="C51" s="47"/>
      <c r="D51" s="50">
        <f>SUM(D7:D50)</f>
        <v>53</v>
      </c>
      <c r="E51" s="8"/>
    </row>
    <row r="52" spans="1:5" ht="16.5" thickBot="1">
      <c r="A52" s="48"/>
      <c r="B52" s="49"/>
      <c r="C52" s="49"/>
      <c r="D52" s="42"/>
      <c r="E52" s="8"/>
    </row>
    <row r="54" spans="1:5" ht="20.25">
      <c r="A54" s="37" t="s">
        <v>35</v>
      </c>
      <c r="B54" s="37"/>
      <c r="C54" s="37"/>
      <c r="D54" s="37"/>
      <c r="E54" s="37"/>
    </row>
    <row r="55" spans="1:5" ht="20.25">
      <c r="A55" s="38" t="s">
        <v>36</v>
      </c>
      <c r="B55" s="38"/>
      <c r="C55" s="38"/>
      <c r="D55" s="38"/>
      <c r="E55" s="38"/>
    </row>
    <row r="56" spans="1:5" ht="21">
      <c r="A56" s="9"/>
      <c r="B56" s="9"/>
      <c r="C56" s="5" t="s">
        <v>276</v>
      </c>
      <c r="D56" s="5"/>
      <c r="E56" s="9"/>
    </row>
  </sheetData>
  <mergeCells count="79">
    <mergeCell ref="A1:E1"/>
    <mergeCell ref="A2:E2"/>
    <mergeCell ref="A3:E3"/>
    <mergeCell ref="A4:E4"/>
    <mergeCell ref="B5:B6"/>
    <mergeCell ref="C5:C6"/>
    <mergeCell ref="D5:D6"/>
    <mergeCell ref="A7:A9"/>
    <mergeCell ref="B7:B9"/>
    <mergeCell ref="C7:C9"/>
    <mergeCell ref="D7:D9"/>
    <mergeCell ref="A10:A11"/>
    <mergeCell ref="B10:B11"/>
    <mergeCell ref="C10:C11"/>
    <mergeCell ref="D10:D11"/>
    <mergeCell ref="A12:A14"/>
    <mergeCell ref="B12:B14"/>
    <mergeCell ref="C12:C14"/>
    <mergeCell ref="D12:D14"/>
    <mergeCell ref="A15:A17"/>
    <mergeCell ref="B15:B17"/>
    <mergeCell ref="C15:C17"/>
    <mergeCell ref="D15:D17"/>
    <mergeCell ref="A18:A20"/>
    <mergeCell ref="B18:B20"/>
    <mergeCell ref="C18:C20"/>
    <mergeCell ref="D18:D20"/>
    <mergeCell ref="A21:A23"/>
    <mergeCell ref="B21:B23"/>
    <mergeCell ref="C21:C23"/>
    <mergeCell ref="D21:D23"/>
    <mergeCell ref="A24:A26"/>
    <mergeCell ref="B24:B26"/>
    <mergeCell ref="C24:C26"/>
    <mergeCell ref="D24:D26"/>
    <mergeCell ref="A27:A28"/>
    <mergeCell ref="B27:B28"/>
    <mergeCell ref="C27:C28"/>
    <mergeCell ref="D27:D28"/>
    <mergeCell ref="A29:A31"/>
    <mergeCell ref="B29:B31"/>
    <mergeCell ref="C29:C31"/>
    <mergeCell ref="D29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8"/>
    <mergeCell ref="B36:B38"/>
    <mergeCell ref="C36:C38"/>
    <mergeCell ref="D36:D38"/>
    <mergeCell ref="A39:A41"/>
    <mergeCell ref="B39:B41"/>
    <mergeCell ref="C39:C41"/>
    <mergeCell ref="D39:D41"/>
    <mergeCell ref="A42:A43"/>
    <mergeCell ref="B42:B43"/>
    <mergeCell ref="C42:C43"/>
    <mergeCell ref="D42:D43"/>
    <mergeCell ref="A44:A46"/>
    <mergeCell ref="B44:B46"/>
    <mergeCell ref="C44:C46"/>
    <mergeCell ref="D44:D46"/>
    <mergeCell ref="A47:A48"/>
    <mergeCell ref="B47:B48"/>
    <mergeCell ref="C47:C48"/>
    <mergeCell ref="D47:D48"/>
    <mergeCell ref="A54:E54"/>
    <mergeCell ref="A55:E55"/>
    <mergeCell ref="A49:A50"/>
    <mergeCell ref="B49:B50"/>
    <mergeCell ref="C49:C50"/>
    <mergeCell ref="D49:D50"/>
    <mergeCell ref="A51:C52"/>
    <mergeCell ref="D51:D52"/>
  </mergeCells>
  <dataValidations count="17">
    <dataValidation type="list" allowBlank="1" showInputMessage="1" showErrorMessage="1" sqref="C18:C20">
      <formula1>$L$18:$L$20</formula1>
    </dataValidation>
    <dataValidation type="list" allowBlank="1" showInputMessage="1" showErrorMessage="1" sqref="C49:C50">
      <formula1>"Оценка по физической подготовке (культуре) - 5,Оценка по физической подготовке (культуре) - 4"</formula1>
    </dataValidation>
    <dataValidation type="list" allowBlank="1" showInputMessage="1" showErrorMessage="1" sqref="C47:C48">
      <formula1>"Материальные средства подразделения в наличии, исправны, обслужены, хранятся правильно,Не выполнены предъявляемые критерии "</formula1>
    </dataValidation>
    <dataValidation type="list" allowBlank="1" showInputMessage="1" showErrorMessage="1" sqref="C44:C46">
      <formula1>"Элементы распорядка дня соблюдаются,Не более пяти нарушений распорядка дня, срывов мероприятий не допущено,Более пяти нарушений элементов распорядка дня или мероприятие сорвано"</formula1>
    </dataValidation>
    <dataValidation type="list" allowBlank="1" showInputMessage="1" showErrorMessage="1" sqref="C42:C43">
      <formula1>"Нарушений ТБ, приведших к травматизму л/с нет,Есть нарушения ТБ, приведших к травматизму л/с"</formula1>
    </dataValidation>
    <dataValidation type="list" allowBlank="1" showInputMessage="1" showErrorMessage="1" sqref="C39:C41">
      <formula1>"Замечания у подчиненного л/с отсутствуют, КУГ оценен не ниже «хорошо»,Выявлено не более 2 замечаний у подчиненного л/с, КУГ оценен не ниже «хорошо»,Л/с отстранен или выявлено более 2 замечаний, КУГ оценен ниже «хорошо»,"</formula1>
    </dataValidation>
    <dataValidation type="list" allowBlank="1" showInputMessage="1" showErrorMessage="1" sqref="C36:C38">
      <formula1>"Наряды и уборщики распределены равномерно,Наряды распределены равномерно, уборщики не равномерно,Наряды и уборщики распределены не равномерно"</formula1>
    </dataValidation>
    <dataValidation type="list" allowBlank="1" showInputMessage="1" showErrorMessage="1" sqref="C34:C35">
      <formula1>"Увольнения распределены равномерно,Увольнения распределяются не равномерно"</formula1>
    </dataValidation>
    <dataValidation type="list" allowBlank="1" showInputMessage="1" showErrorMessage="1" sqref="C32:C33">
      <formula1>"Подведение итогов актуально, поставлены конкретные задачи и проводится в установленное время,Подведение итогов не актуально, не поставлены задачи или не проводится"</formula1>
    </dataValidation>
    <dataValidation type="list" allowBlank="1" showInputMessage="1" showErrorMessage="1" sqref="C29:C31">
      <formula1>"Обстановкой владеет, доклады представляет, книжка сержантов актуальна,Обстановкой владеет, доклады представляет, книжка сержантов не актуальна,Обстановкой не владеет, доклады не представляет, книжка сержантов не актуальна"</formula1>
    </dataValidation>
    <dataValidation type="list" allowBlank="1" showInputMessage="1" showErrorMessage="1" sqref="C27:C28">
      <formula1>"Дисциплинарная практика к подчиненному личному составу ведется,Дисциплинарная практика к подчиненному личному составу не реализуется или КУГ имеет дисциплинарные взыскания"</formula1>
    </dataValidation>
    <dataValidation type="list" allowBlank="1" showInputMessage="1" showErrorMessage="1" sqref="C24:C26">
      <formula1>"ПРО, ПРЕ, ГДП в подразделении и КУГ отсутствуют, ПРО, ПРЕ отсутствуют, имеются не снятые взыскания за ГДП в подразделении, у КУГ отсутствуют, Совершено ПРО, ПРЕ, ГДП в подразделении или КУГ или допущено сокрытие"</formula1>
    </dataValidation>
    <dataValidation type="list" allowBlank="1" showInputMessage="1" showErrorMessage="1" sqref="C21:C23">
      <formula1>"Замечания в подразделении и у КУГ отсутствуют,В подразделении 2 замечания у КУГ отсутствуют,В подразделении 3 и более замечаний или замечания у КУГ"</formula1>
    </dataValidation>
    <dataValidation type="list" allowBlank="1" showInputMessage="1" showErrorMessage="1" sqref="C15:C17">
      <formula1>$L$15:$L$17</formula1>
    </dataValidation>
    <dataValidation type="list" allowBlank="1" showInputMessage="1" showErrorMessage="1" sqref="C12:C14">
      <formula1>"В подразделении и у КУГ отсутствуют текущие задолжности,Имеются менее 20% текущих задолжностей в подразделении или у КУГ,Имеются более 20% текущих задолжностей в подразделении или у КУГ"</formula1>
    </dataValidation>
    <dataValidation type="list" allowBlank="1" showInputMessage="1" showErrorMessage="1" sqref="C10:C11">
      <formula1>"Академические задолжности отсутствуют, Имеются академические задолжности в учебной группе или у КУГ"</formula1>
    </dataValidation>
    <dataValidation type="list" allowBlank="1" showInputMessage="1" showErrorMessage="1" sqref="C7:C9">
      <formula1>$G$7:$G$9</formula1>
    </dataValidation>
  </dataValidations>
  <pageMargins left="0.7" right="0.7" top="0.75" bottom="0.75" header="0.3" footer="0.3"/>
  <pageSetup paperSize="9" orientation="portrait" verticalDpi="0" r:id="rId1"/>
</worksheet>
</file>

<file path=xl/worksheets/sheet50.xml><?xml version="1.0" encoding="utf-8"?>
<worksheet xmlns="http://schemas.openxmlformats.org/spreadsheetml/2006/main" xmlns:r="http://schemas.openxmlformats.org/officeDocument/2006/relationships">
  <sheetPr>
    <tabColor rgb="FFFFC000"/>
  </sheetPr>
  <dimension ref="A1:U46"/>
  <sheetViews>
    <sheetView zoomScale="70" zoomScaleNormal="70" workbookViewId="0">
      <selection activeCell="C33" sqref="C33:C35"/>
    </sheetView>
  </sheetViews>
  <sheetFormatPr defaultRowHeight="15"/>
  <cols>
    <col min="2" max="2" width="26" customWidth="1"/>
    <col min="3" max="3" width="58.5703125" customWidth="1"/>
    <col min="4" max="4" width="28.42578125" customWidth="1"/>
    <col min="5" max="5" width="24.140625" hidden="1" customWidth="1"/>
    <col min="6" max="6" width="24" hidden="1" customWidth="1"/>
    <col min="7" max="7" width="1.85546875" hidden="1" customWidth="1"/>
    <col min="8" max="8" width="18.42578125" customWidth="1"/>
  </cols>
  <sheetData>
    <row r="1" spans="1:21" ht="20.25">
      <c r="A1" s="56" t="s">
        <v>0</v>
      </c>
      <c r="B1" s="56"/>
      <c r="C1" s="56"/>
      <c r="D1" s="56"/>
      <c r="E1" s="56"/>
    </row>
    <row r="2" spans="1:21" ht="18.75">
      <c r="A2" s="57" t="s">
        <v>1</v>
      </c>
      <c r="B2" s="57"/>
      <c r="C2" s="57"/>
      <c r="D2" s="57"/>
      <c r="E2" s="57"/>
    </row>
    <row r="3" spans="1:21" ht="18.75" customHeight="1">
      <c r="A3" s="58" t="s">
        <v>288</v>
      </c>
      <c r="B3" s="57"/>
      <c r="C3" s="57"/>
      <c r="D3" s="57"/>
      <c r="E3" s="57"/>
    </row>
    <row r="4" spans="1:21" ht="16.5" thickBot="1">
      <c r="A4" s="59"/>
      <c r="B4" s="59"/>
      <c r="C4" s="59"/>
      <c r="D4" s="59"/>
      <c r="E4" s="59"/>
    </row>
    <row r="5" spans="1:21" ht="15.75">
      <c r="A5" s="2" t="s">
        <v>3</v>
      </c>
      <c r="B5" s="60" t="s">
        <v>54</v>
      </c>
      <c r="C5" s="60" t="s">
        <v>55</v>
      </c>
      <c r="D5" s="60" t="s">
        <v>42</v>
      </c>
    </row>
    <row r="6" spans="1:21" ht="16.5" thickBot="1">
      <c r="A6" s="4" t="s">
        <v>4</v>
      </c>
      <c r="B6" s="61"/>
      <c r="C6" s="61"/>
      <c r="D6" s="61"/>
    </row>
    <row r="7" spans="1:21" ht="13.5" customHeight="1">
      <c r="A7" s="39" t="s">
        <v>5</v>
      </c>
      <c r="B7" s="44" t="s">
        <v>6</v>
      </c>
      <c r="C7" s="44" t="s">
        <v>82</v>
      </c>
      <c r="D7" s="44">
        <f>IF(IFERROR(SEARCH("подразделения ≥ 4,5", C7), 0) &gt; 0, 5, IF(IFERROR(SEARCH("подразделения ≥ 4,0", C7), 0) &gt; 0, 3, IF(IFERROR(SEARCH("&lt;", C7), 0) &gt; 0, 0,)))</f>
        <v>5</v>
      </c>
      <c r="F7">
        <v>5</v>
      </c>
      <c r="G7" s="16" t="s">
        <v>82</v>
      </c>
      <c r="N7" s="15"/>
      <c r="U7" s="15"/>
    </row>
    <row r="8" spans="1:21" ht="20.25" customHeight="1">
      <c r="A8" s="51"/>
      <c r="B8" s="54"/>
      <c r="C8" s="52"/>
      <c r="D8" s="52"/>
      <c r="F8">
        <v>3</v>
      </c>
      <c r="G8" s="17" t="s">
        <v>83</v>
      </c>
      <c r="N8" s="13"/>
      <c r="U8" s="13"/>
    </row>
    <row r="9" spans="1:21" ht="18" customHeight="1" thickBot="1">
      <c r="A9" s="40"/>
      <c r="B9" s="55"/>
      <c r="C9" s="45"/>
      <c r="D9" s="45"/>
      <c r="F9">
        <v>0</v>
      </c>
      <c r="G9" s="18" t="s">
        <v>84</v>
      </c>
    </row>
    <row r="10" spans="1:21">
      <c r="A10" s="39" t="s">
        <v>7</v>
      </c>
      <c r="B10" s="44" t="s">
        <v>8</v>
      </c>
      <c r="C10" s="44" t="s">
        <v>85</v>
      </c>
      <c r="D10" s="44">
        <f>IF(IFERROR(SEARCH("отсутствуют", C10), 0) &gt; 0, 10, IF(IFERROR(SEARCH("имеются", C10), 0) &gt; 0, 0, ))</f>
        <v>10</v>
      </c>
      <c r="F10">
        <v>10</v>
      </c>
      <c r="G10" t="s">
        <v>85</v>
      </c>
    </row>
    <row r="11" spans="1:21" ht="24.75" customHeight="1" thickBot="1">
      <c r="A11" s="40"/>
      <c r="B11" s="45"/>
      <c r="C11" s="45"/>
      <c r="D11" s="45"/>
      <c r="F11">
        <v>0</v>
      </c>
      <c r="G11" s="13" t="s">
        <v>86</v>
      </c>
    </row>
    <row r="12" spans="1:21" ht="18" customHeight="1" thickBot="1">
      <c r="A12" s="39" t="s">
        <v>9</v>
      </c>
      <c r="B12" s="44" t="s">
        <v>10</v>
      </c>
      <c r="C12" s="44" t="s">
        <v>87</v>
      </c>
      <c r="D12" s="44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>5</v>
      </c>
      <c r="F12">
        <v>5</v>
      </c>
      <c r="G12" s="14" t="s">
        <v>87</v>
      </c>
    </row>
    <row r="13" spans="1:21" ht="15.75">
      <c r="A13" s="51"/>
      <c r="B13" s="52"/>
      <c r="C13" s="52"/>
      <c r="D13" s="52"/>
      <c r="F13">
        <v>3</v>
      </c>
      <c r="G13" s="13" t="s">
        <v>88</v>
      </c>
    </row>
    <row r="14" spans="1:21" ht="16.5" thickBot="1">
      <c r="A14" s="40"/>
      <c r="B14" s="45"/>
      <c r="C14" s="45"/>
      <c r="D14" s="45"/>
      <c r="F14">
        <v>0</v>
      </c>
      <c r="G14" s="13" t="s">
        <v>89</v>
      </c>
    </row>
    <row r="15" spans="1:21" ht="15.75">
      <c r="A15" s="39" t="s">
        <v>11</v>
      </c>
      <c r="B15" s="44" t="s">
        <v>12</v>
      </c>
      <c r="C15" s="41" t="s">
        <v>90</v>
      </c>
      <c r="D15" s="44">
        <f>IF(IFERROR(SEARCH("Отсутствуют", C15), 0) &gt; 0, 5, IF(IFERROR(SEARCH("Наличие одного", C15), 0) &gt; 0, 3, IF(IFERROR(SEARCH("Наличие двух", C15), 0) &gt; 0, 0,)))</f>
        <v>5</v>
      </c>
      <c r="F15">
        <v>5</v>
      </c>
      <c r="G15" s="19" t="s">
        <v>90</v>
      </c>
    </row>
    <row r="16" spans="1:21" ht="15.75">
      <c r="A16" s="51"/>
      <c r="B16" s="52"/>
      <c r="C16" s="53"/>
      <c r="D16" s="52"/>
      <c r="F16">
        <v>3</v>
      </c>
      <c r="G16" s="13" t="s">
        <v>91</v>
      </c>
    </row>
    <row r="17" spans="1:7" ht="92.25" customHeight="1" thickBot="1">
      <c r="A17" s="40"/>
      <c r="B17" s="45"/>
      <c r="C17" s="43"/>
      <c r="D17" s="45"/>
      <c r="F17">
        <v>0</v>
      </c>
      <c r="G17" s="13" t="s">
        <v>92</v>
      </c>
    </row>
    <row r="18" spans="1:7" ht="15" customHeight="1" thickBot="1">
      <c r="A18" s="39" t="s">
        <v>13</v>
      </c>
      <c r="B18" s="44" t="s">
        <v>14</v>
      </c>
      <c r="C18" s="41" t="s">
        <v>93</v>
      </c>
      <c r="D18" s="44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>10</v>
      </c>
      <c r="F18">
        <v>10</v>
      </c>
      <c r="G18" s="13" t="s">
        <v>93</v>
      </c>
    </row>
    <row r="19" spans="1:7" ht="15" customHeight="1" thickBot="1">
      <c r="A19" s="51"/>
      <c r="B19" s="52"/>
      <c r="C19" s="53"/>
      <c r="D19" s="52"/>
      <c r="F19">
        <v>2</v>
      </c>
      <c r="G19" s="14" t="s">
        <v>94</v>
      </c>
    </row>
    <row r="20" spans="1:7" ht="57" customHeight="1" thickBot="1">
      <c r="A20" s="40"/>
      <c r="B20" s="45"/>
      <c r="C20" s="43"/>
      <c r="D20" s="45"/>
      <c r="F20">
        <v>0</v>
      </c>
      <c r="G20" s="13" t="s">
        <v>95</v>
      </c>
    </row>
    <row r="21" spans="1:7" ht="15.75">
      <c r="A21" s="39" t="s">
        <v>15</v>
      </c>
      <c r="B21" s="44" t="s">
        <v>16</v>
      </c>
      <c r="C21" s="41" t="s">
        <v>96</v>
      </c>
      <c r="D21" s="44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>5</v>
      </c>
      <c r="F21">
        <v>5</v>
      </c>
      <c r="G21" s="13" t="s">
        <v>96</v>
      </c>
    </row>
    <row r="22" spans="1:7" ht="42.75" customHeight="1" thickBot="1">
      <c r="A22" s="40"/>
      <c r="B22" s="45"/>
      <c r="C22" s="43"/>
      <c r="D22" s="45"/>
      <c r="F22">
        <v>0</v>
      </c>
      <c r="G22" s="13" t="s">
        <v>97</v>
      </c>
    </row>
    <row r="23" spans="1:7" ht="15.75">
      <c r="A23" s="39" t="s">
        <v>17</v>
      </c>
      <c r="B23" s="44" t="s">
        <v>18</v>
      </c>
      <c r="C23" s="41" t="s">
        <v>19</v>
      </c>
      <c r="D23" s="44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>10</v>
      </c>
      <c r="F23">
        <v>10</v>
      </c>
      <c r="G23" s="13" t="s">
        <v>19</v>
      </c>
    </row>
    <row r="24" spans="1:7" ht="15.75">
      <c r="A24" s="51"/>
      <c r="B24" s="52"/>
      <c r="C24" s="53"/>
      <c r="D24" s="52"/>
      <c r="F24">
        <v>5</v>
      </c>
      <c r="G24" s="13" t="s">
        <v>98</v>
      </c>
    </row>
    <row r="25" spans="1:7" ht="82.5" customHeight="1" thickBot="1">
      <c r="A25" s="40"/>
      <c r="B25" s="45"/>
      <c r="C25" s="43"/>
      <c r="D25" s="45"/>
      <c r="F25">
        <v>0</v>
      </c>
      <c r="G25" s="13" t="s">
        <v>99</v>
      </c>
    </row>
    <row r="26" spans="1:7" ht="15.75">
      <c r="A26" s="39" t="s">
        <v>20</v>
      </c>
      <c r="B26" s="44" t="s">
        <v>21</v>
      </c>
      <c r="C26" s="41" t="s">
        <v>100</v>
      </c>
      <c r="D26" s="44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>0</v>
      </c>
      <c r="F26">
        <v>3</v>
      </c>
      <c r="G26" s="13" t="s">
        <v>22</v>
      </c>
    </row>
    <row r="27" spans="1:7" ht="41.25" customHeight="1" thickBot="1">
      <c r="A27" s="40"/>
      <c r="B27" s="45"/>
      <c r="C27" s="43"/>
      <c r="D27" s="45"/>
      <c r="F27">
        <v>0</v>
      </c>
      <c r="G27" s="13" t="s">
        <v>100</v>
      </c>
    </row>
    <row r="28" spans="1:7" ht="15.75">
      <c r="A28" s="39" t="s">
        <v>23</v>
      </c>
      <c r="B28" s="44" t="s">
        <v>24</v>
      </c>
      <c r="C28" s="41" t="s">
        <v>102</v>
      </c>
      <c r="D28" s="44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>3</v>
      </c>
      <c r="F28">
        <v>5</v>
      </c>
      <c r="G28" s="13" t="s">
        <v>101</v>
      </c>
    </row>
    <row r="29" spans="1:7" ht="15.75">
      <c r="A29" s="51"/>
      <c r="B29" s="52"/>
      <c r="C29" s="53"/>
      <c r="D29" s="52"/>
      <c r="F29">
        <v>3</v>
      </c>
      <c r="G29" s="13" t="s">
        <v>102</v>
      </c>
    </row>
    <row r="30" spans="1:7" ht="61.5" customHeight="1" thickBot="1">
      <c r="A30" s="40"/>
      <c r="B30" s="45"/>
      <c r="C30" s="43"/>
      <c r="D30" s="45"/>
      <c r="F30">
        <v>0</v>
      </c>
      <c r="G30" s="13" t="s">
        <v>103</v>
      </c>
    </row>
    <row r="31" spans="1:7" ht="15.75">
      <c r="A31" s="39" t="s">
        <v>25</v>
      </c>
      <c r="B31" s="44" t="s">
        <v>26</v>
      </c>
      <c r="C31" s="41" t="s">
        <v>104</v>
      </c>
      <c r="D31" s="44">
        <f>IF(IFERROR(SEARCH("Отсутствуют нарушения ТБ", C31), 0) &gt; 0, 10, IF(IFERROR(SEARCH("Имелись нарушения ТБ", C31), 0) &gt; 0, 0, ))</f>
        <v>10</v>
      </c>
      <c r="F31">
        <v>10</v>
      </c>
      <c r="G31" s="13" t="s">
        <v>104</v>
      </c>
    </row>
    <row r="32" spans="1:7" ht="33.75" customHeight="1" thickBot="1">
      <c r="A32" s="40"/>
      <c r="B32" s="45"/>
      <c r="C32" s="43"/>
      <c r="D32" s="45"/>
      <c r="F32">
        <v>0</v>
      </c>
      <c r="G32" s="13" t="s">
        <v>105</v>
      </c>
    </row>
    <row r="33" spans="1:7" ht="15.75">
      <c r="A33" s="39" t="s">
        <v>27</v>
      </c>
      <c r="B33" s="44" t="s">
        <v>28</v>
      </c>
      <c r="C33" s="41" t="s">
        <v>52</v>
      </c>
      <c r="D33" s="44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>10</v>
      </c>
      <c r="F33">
        <v>10</v>
      </c>
      <c r="G33" s="13" t="s">
        <v>52</v>
      </c>
    </row>
    <row r="34" spans="1:7" ht="15.75">
      <c r="A34" s="51"/>
      <c r="B34" s="52"/>
      <c r="C34" s="53"/>
      <c r="D34" s="52"/>
      <c r="F34">
        <v>5</v>
      </c>
      <c r="G34" s="13" t="s">
        <v>106</v>
      </c>
    </row>
    <row r="35" spans="1:7" ht="18" customHeight="1" thickBot="1">
      <c r="A35" s="40"/>
      <c r="B35" s="45"/>
      <c r="C35" s="43"/>
      <c r="D35" s="45"/>
      <c r="F35">
        <v>0</v>
      </c>
      <c r="G35" s="13" t="s">
        <v>107</v>
      </c>
    </row>
    <row r="36" spans="1:7" ht="15.75">
      <c r="A36" s="39" t="s">
        <v>29</v>
      </c>
      <c r="B36" s="44" t="s">
        <v>30</v>
      </c>
      <c r="C36" s="41" t="s">
        <v>31</v>
      </c>
      <c r="D36" s="44">
        <f>IF(IFERROR(SEARCH("Материальные средства ", C36), 0) &gt; 0, 5, IF(IFERROR(SEARCH("Не выполнены ", C36), 0) &gt; 0, 0, ))</f>
        <v>5</v>
      </c>
      <c r="F36">
        <v>5</v>
      </c>
      <c r="G36" s="13" t="s">
        <v>31</v>
      </c>
    </row>
    <row r="37" spans="1:7" ht="45" customHeight="1" thickBot="1">
      <c r="A37" s="40"/>
      <c r="B37" s="45"/>
      <c r="C37" s="43"/>
      <c r="D37" s="45"/>
      <c r="F37">
        <v>0</v>
      </c>
      <c r="G37" s="13" t="s">
        <v>110</v>
      </c>
    </row>
    <row r="38" spans="1:7" ht="15.75">
      <c r="A38" s="39" t="s">
        <v>32</v>
      </c>
      <c r="B38" s="44" t="s">
        <v>33</v>
      </c>
      <c r="C38" s="41" t="s">
        <v>108</v>
      </c>
      <c r="D38" s="44">
        <f>IF(IFERROR(SEARCH("5", C38), 0) &gt; 0, 2, IF(IFERROR(SEARCH("4", C38), 0) &gt; 0, 1, ))</f>
        <v>2</v>
      </c>
      <c r="F38">
        <v>2</v>
      </c>
      <c r="G38" s="13" t="s">
        <v>108</v>
      </c>
    </row>
    <row r="39" spans="1:7" ht="103.5" customHeight="1" thickBot="1">
      <c r="A39" s="40"/>
      <c r="B39" s="45"/>
      <c r="C39" s="43"/>
      <c r="D39" s="45"/>
      <c r="F39">
        <v>1</v>
      </c>
      <c r="G39" s="13" t="s">
        <v>109</v>
      </c>
    </row>
    <row r="40" spans="1:7">
      <c r="A40" s="46" t="s">
        <v>34</v>
      </c>
      <c r="B40" s="47"/>
      <c r="C40" s="66"/>
      <c r="D40" s="68">
        <f>SUM(D7:D39)</f>
        <v>80</v>
      </c>
      <c r="E40" s="65"/>
    </row>
    <row r="41" spans="1:7" ht="15.75" thickBot="1">
      <c r="A41" s="48"/>
      <c r="B41" s="49"/>
      <c r="C41" s="67"/>
      <c r="D41" s="69"/>
      <c r="E41" s="65"/>
    </row>
    <row r="43" spans="1:7" ht="20.25">
      <c r="A43" s="37" t="s">
        <v>35</v>
      </c>
      <c r="B43" s="37"/>
      <c r="C43" s="37"/>
      <c r="D43" s="5"/>
      <c r="E43" s="5"/>
    </row>
    <row r="44" spans="1:7" ht="20.25">
      <c r="A44" s="37"/>
      <c r="B44" s="37"/>
      <c r="C44" s="37"/>
      <c r="D44" s="6"/>
      <c r="E44" s="6"/>
    </row>
    <row r="45" spans="1:7" ht="20.25">
      <c r="A45" s="5"/>
      <c r="B45" s="5"/>
      <c r="C45" s="5" t="s">
        <v>36</v>
      </c>
      <c r="D45" s="5"/>
      <c r="E45" s="5"/>
    </row>
    <row r="46" spans="1:7" ht="20.25">
      <c r="A46" s="5"/>
      <c r="B46" s="5"/>
      <c r="C46" s="5" t="s">
        <v>279</v>
      </c>
    </row>
  </sheetData>
  <mergeCells count="63">
    <mergeCell ref="A1:E1"/>
    <mergeCell ref="A2:E2"/>
    <mergeCell ref="A3:E3"/>
    <mergeCell ref="A4:E4"/>
    <mergeCell ref="B5:B6"/>
    <mergeCell ref="C5:C6"/>
    <mergeCell ref="D5:D6"/>
    <mergeCell ref="A7:A9"/>
    <mergeCell ref="B7:B9"/>
    <mergeCell ref="C7:C9"/>
    <mergeCell ref="D7:D9"/>
    <mergeCell ref="A10:A11"/>
    <mergeCell ref="B10:B11"/>
    <mergeCell ref="C10:C11"/>
    <mergeCell ref="D10:D11"/>
    <mergeCell ref="A12:A14"/>
    <mergeCell ref="B12:B14"/>
    <mergeCell ref="C12:C14"/>
    <mergeCell ref="D12:D14"/>
    <mergeCell ref="A15:A17"/>
    <mergeCell ref="B15:B17"/>
    <mergeCell ref="C15:C17"/>
    <mergeCell ref="D15:D17"/>
    <mergeCell ref="A18:A20"/>
    <mergeCell ref="B18:B20"/>
    <mergeCell ref="C18:C20"/>
    <mergeCell ref="D18:D20"/>
    <mergeCell ref="A21:A22"/>
    <mergeCell ref="B21:B22"/>
    <mergeCell ref="C21:C22"/>
    <mergeCell ref="D21:D22"/>
    <mergeCell ref="A23:A25"/>
    <mergeCell ref="B23:B25"/>
    <mergeCell ref="C23:C25"/>
    <mergeCell ref="D23:D25"/>
    <mergeCell ref="A26:A27"/>
    <mergeCell ref="B26:B27"/>
    <mergeCell ref="C26:C27"/>
    <mergeCell ref="D26:D27"/>
    <mergeCell ref="A28:A30"/>
    <mergeCell ref="B28:B30"/>
    <mergeCell ref="C28:C30"/>
    <mergeCell ref="D28:D30"/>
    <mergeCell ref="A31:A32"/>
    <mergeCell ref="B31:B32"/>
    <mergeCell ref="C31:C32"/>
    <mergeCell ref="D31:D32"/>
    <mergeCell ref="A33:A35"/>
    <mergeCell ref="B33:B35"/>
    <mergeCell ref="C33:C35"/>
    <mergeCell ref="D33:D35"/>
    <mergeCell ref="A36:A37"/>
    <mergeCell ref="B36:B37"/>
    <mergeCell ref="C36:C37"/>
    <mergeCell ref="D36:D37"/>
    <mergeCell ref="E40:E41"/>
    <mergeCell ref="A43:C44"/>
    <mergeCell ref="A38:A39"/>
    <mergeCell ref="B38:B39"/>
    <mergeCell ref="C38:C39"/>
    <mergeCell ref="D38:D39"/>
    <mergeCell ref="A40:C41"/>
    <mergeCell ref="D40:D41"/>
  </mergeCells>
  <dataValidations count="13">
    <dataValidation type="list" allowBlank="1" showInputMessage="1" showErrorMessage="1" sqref="C38:C39">
      <formula1>$G$38:$G$39</formula1>
    </dataValidation>
    <dataValidation type="list" allowBlank="1" showInputMessage="1" showErrorMessage="1" sqref="C36:C37">
      <formula1>$G$36:$G$37</formula1>
    </dataValidation>
    <dataValidation type="list" allowBlank="1" showInputMessage="1" showErrorMessage="1" sqref="C33:C35">
      <formula1>$G$33:$G$35</formula1>
    </dataValidation>
    <dataValidation type="list" allowBlank="1" showInputMessage="1" showErrorMessage="1" sqref="C31:C32">
      <formula1>$G$31:$G$32</formula1>
    </dataValidation>
    <dataValidation type="list" allowBlank="1" showInputMessage="1" showErrorMessage="1" sqref="C28:C30">
      <formula1>$G$28:$G$30</formula1>
    </dataValidation>
    <dataValidation type="list" allowBlank="1" showInputMessage="1" showErrorMessage="1" sqref="C26:C27">
      <formula1>$G$26:$G$27</formula1>
    </dataValidation>
    <dataValidation type="list" allowBlank="1" showInputMessage="1" showErrorMessage="1" sqref="C23:C25">
      <formula1>$G$23:$G$25</formula1>
    </dataValidation>
    <dataValidation type="list" allowBlank="1" showInputMessage="1" showErrorMessage="1" sqref="C21:C22">
      <formula1>$G$21:$G$22</formula1>
    </dataValidation>
    <dataValidation type="list" allowBlank="1" showInputMessage="1" showErrorMessage="1" sqref="C18:C20">
      <formula1>$G$18:$G$20</formula1>
    </dataValidation>
    <dataValidation type="list" allowBlank="1" showInputMessage="1" showErrorMessage="1" sqref="C15:C17">
      <formula1>$G$15:$G$17</formula1>
    </dataValidation>
    <dataValidation type="list" allowBlank="1" showInputMessage="1" showErrorMessage="1" sqref="C12:C14">
      <formula1>$G$12:$G$14</formula1>
    </dataValidation>
    <dataValidation type="list" allowBlank="1" showInputMessage="1" showErrorMessage="1" sqref="C10:C11">
      <formula1>$G$10:$G$11</formula1>
    </dataValidation>
    <dataValidation type="list" allowBlank="1" showInputMessage="1" showErrorMessage="1" sqref="C7:C9">
      <formula1>$G$7:$G$9</formula1>
    </dataValidation>
  </dataValidation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sheetPr>
    <tabColor rgb="FFC00000"/>
  </sheetPr>
  <dimension ref="A1:G51"/>
  <sheetViews>
    <sheetView zoomScale="70" zoomScaleNormal="70" workbookViewId="0">
      <selection activeCell="E1" sqref="E1:H1048576"/>
    </sheetView>
  </sheetViews>
  <sheetFormatPr defaultRowHeight="15"/>
  <cols>
    <col min="2" max="2" width="26" customWidth="1"/>
    <col min="3" max="3" width="58.5703125" customWidth="1"/>
    <col min="4" max="4" width="31.5703125" customWidth="1"/>
    <col min="5" max="5" width="33.85546875" hidden="1" customWidth="1"/>
    <col min="6" max="7" width="31.5703125" hidden="1" customWidth="1"/>
    <col min="8" max="8" width="0" hidden="1" customWidth="1"/>
  </cols>
  <sheetData>
    <row r="1" spans="1:5" ht="20.25">
      <c r="A1" s="56" t="s">
        <v>0</v>
      </c>
      <c r="B1" s="56"/>
      <c r="C1" s="56"/>
      <c r="D1" s="56"/>
      <c r="E1" s="11"/>
    </row>
    <row r="2" spans="1:5" ht="18.75">
      <c r="A2" s="57" t="s">
        <v>1</v>
      </c>
      <c r="B2" s="57"/>
      <c r="C2" s="57"/>
      <c r="D2" s="57"/>
      <c r="E2" s="12"/>
    </row>
    <row r="3" spans="1:5" ht="18.75" customHeight="1">
      <c r="A3" s="58" t="s">
        <v>50</v>
      </c>
      <c r="B3" s="58"/>
      <c r="C3" s="58"/>
      <c r="D3" s="58"/>
      <c r="E3" s="12"/>
    </row>
    <row r="4" spans="1:5" ht="16.5" thickBot="1">
      <c r="A4" s="59"/>
      <c r="B4" s="59"/>
      <c r="C4" s="59"/>
      <c r="D4" s="59"/>
      <c r="E4" s="59"/>
    </row>
    <row r="5" spans="1:5" ht="15.75">
      <c r="A5" s="1" t="s">
        <v>3</v>
      </c>
      <c r="B5" s="60" t="s">
        <v>54</v>
      </c>
      <c r="C5" s="60" t="s">
        <v>55</v>
      </c>
      <c r="D5" s="60" t="s">
        <v>42</v>
      </c>
    </row>
    <row r="6" spans="1:5" ht="16.5" thickBot="1">
      <c r="A6" s="3" t="s">
        <v>4</v>
      </c>
      <c r="B6" s="61"/>
      <c r="C6" s="61"/>
      <c r="D6" s="61"/>
    </row>
    <row r="7" spans="1:5" ht="16.5" customHeight="1">
      <c r="A7" s="39" t="s">
        <v>5</v>
      </c>
      <c r="B7" s="44" t="s">
        <v>6</v>
      </c>
      <c r="C7" s="44" t="s">
        <v>347</v>
      </c>
      <c r="D7" s="44">
        <f>IF(IFERROR(SEARCH("подразделения ≥ 4,5", C7), 0) &gt; 0, 5, IF(IFERROR(SEARCH("подразделения ≥ 4,0", C7), 0) &gt; 0, 3, IF(IFERROR(SEARCH("&lt;", C7), 0) &gt; 0, 0,)))</f>
        <v>3</v>
      </c>
      <c r="E7" s="16" t="s">
        <v>346</v>
      </c>
    </row>
    <row r="8" spans="1:5" ht="14.25" customHeight="1">
      <c r="A8" s="51"/>
      <c r="B8" s="54"/>
      <c r="C8" s="52"/>
      <c r="D8" s="52"/>
      <c r="E8" s="17" t="s">
        <v>347</v>
      </c>
    </row>
    <row r="9" spans="1:5" ht="18" customHeight="1" thickBot="1">
      <c r="A9" s="40"/>
      <c r="B9" s="55"/>
      <c r="C9" s="45"/>
      <c r="D9" s="45"/>
      <c r="E9" s="18" t="s">
        <v>348</v>
      </c>
    </row>
    <row r="10" spans="1:5">
      <c r="A10" s="39" t="s">
        <v>7</v>
      </c>
      <c r="B10" s="44" t="s">
        <v>8</v>
      </c>
      <c r="C10" s="41" t="s">
        <v>332</v>
      </c>
      <c r="D10" s="44">
        <f>IF(C10="В подразделении и у старшины курса отсутствуют академические задолжности",10,0)</f>
        <v>0</v>
      </c>
    </row>
    <row r="11" spans="1:5" ht="26.25" customHeight="1" thickBot="1">
      <c r="A11" s="40"/>
      <c r="B11" s="45"/>
      <c r="C11" s="43"/>
      <c r="D11" s="45"/>
    </row>
    <row r="12" spans="1:5">
      <c r="A12" s="39" t="s">
        <v>9</v>
      </c>
      <c r="B12" s="44" t="s">
        <v>10</v>
      </c>
      <c r="C12" s="41" t="s">
        <v>333</v>
      </c>
      <c r="D12" s="44">
        <f>IF(C12="Текущие задолжности в подразделении и старшины курса отсутствуют",5,IF(C12="Имеются менее 10% задолжностей в подразделении или у старшины курса",3,IF(C12="Имеютя более 10% задолжностей в подразделении или старшины курса",0,)))</f>
        <v>5</v>
      </c>
    </row>
    <row r="13" spans="1:5">
      <c r="A13" s="51"/>
      <c r="B13" s="52"/>
      <c r="C13" s="53"/>
      <c r="D13" s="52"/>
    </row>
    <row r="14" spans="1:5" ht="30.75" customHeight="1" thickBot="1">
      <c r="A14" s="40"/>
      <c r="B14" s="45"/>
      <c r="C14" s="43"/>
      <c r="D14" s="45"/>
    </row>
    <row r="15" spans="1:5">
      <c r="A15" s="39" t="s">
        <v>11</v>
      </c>
      <c r="B15" s="44" t="s">
        <v>12</v>
      </c>
      <c r="C15" s="41" t="s">
        <v>59</v>
      </c>
      <c r="D15" s="44">
        <f>IF(C15="Замечаний нет",5,0)</f>
        <v>0</v>
      </c>
    </row>
    <row r="16" spans="1:5" ht="15.75" customHeight="1">
      <c r="A16" s="51"/>
      <c r="B16" s="52"/>
      <c r="C16" s="53"/>
      <c r="D16" s="52"/>
    </row>
    <row r="17" spans="1:4" ht="88.5" customHeight="1" thickBot="1">
      <c r="A17" s="40"/>
      <c r="B17" s="45"/>
      <c r="C17" s="43"/>
      <c r="D17" s="45"/>
    </row>
    <row r="18" spans="1:4">
      <c r="A18" s="39" t="s">
        <v>13</v>
      </c>
      <c r="B18" s="44" t="s">
        <v>14</v>
      </c>
      <c r="C18" s="41" t="s">
        <v>56</v>
      </c>
      <c r="D18" s="44">
        <f>IF(C18="ПРО, ПРЕ, ГДП в подразделении и старшины курса отсутствуют",10,IF(C18="ПРО, ПРЕ отсутствуют, имеются не снятые взыскания за ГДП в подразделении, у старшины курса отсутствуют",2,IF(C18="Совершено ПРО, ПРЕ, ГДП в подразделении или старшины курса или допущено сокрытие",0,)))</f>
        <v>10</v>
      </c>
    </row>
    <row r="19" spans="1:4">
      <c r="A19" s="51"/>
      <c r="B19" s="52"/>
      <c r="C19" s="53"/>
      <c r="D19" s="52"/>
    </row>
    <row r="20" spans="1:4" ht="38.25" customHeight="1" thickBot="1">
      <c r="A20" s="40"/>
      <c r="B20" s="45"/>
      <c r="C20" s="43"/>
      <c r="D20" s="45"/>
    </row>
    <row r="21" spans="1:4">
      <c r="A21" s="39" t="s">
        <v>15</v>
      </c>
      <c r="B21" s="44" t="s">
        <v>16</v>
      </c>
      <c r="C21" s="41" t="s">
        <v>57</v>
      </c>
      <c r="D21" s="44">
        <f>IF(C21="Дисциплинарная практика к подчиненному личному составу ведется",5,0)</f>
        <v>5</v>
      </c>
    </row>
    <row r="22" spans="1:4" ht="33.75" customHeight="1" thickBot="1">
      <c r="A22" s="40"/>
      <c r="B22" s="45"/>
      <c r="C22" s="43"/>
      <c r="D22" s="45"/>
    </row>
    <row r="23" spans="1:4">
      <c r="A23" s="39" t="s">
        <v>17</v>
      </c>
      <c r="B23" s="44" t="s">
        <v>18</v>
      </c>
      <c r="C23" s="41" t="s">
        <v>60</v>
      </c>
      <c r="D23" s="44">
        <f>IF(C23="Обстановкой владеет, доклады представляет, книжка сержантов актуальна",10,IF(C23="Обстановкой владеет, доклады представляет, книжка сержантов не актуальна",5,IF(C23="Обстановкой не владеет, доклады не представляет, книжка сержантов не актуальна",0,)))</f>
        <v>10</v>
      </c>
    </row>
    <row r="24" spans="1:4">
      <c r="A24" s="51"/>
      <c r="B24" s="52"/>
      <c r="C24" s="53"/>
      <c r="D24" s="52"/>
    </row>
    <row r="25" spans="1:4" ht="89.25" customHeight="1" thickBot="1">
      <c r="A25" s="40"/>
      <c r="B25" s="45"/>
      <c r="C25" s="43"/>
      <c r="D25" s="45"/>
    </row>
    <row r="26" spans="1:4">
      <c r="A26" s="39" t="s">
        <v>20</v>
      </c>
      <c r="B26" s="44" t="s">
        <v>43</v>
      </c>
      <c r="C26" s="44" t="s">
        <v>69</v>
      </c>
      <c r="D26" s="44">
        <f>IF(C26="Увольнения между учебными группами распределены равномерно",2,0)</f>
        <v>2</v>
      </c>
    </row>
    <row r="27" spans="1:4" ht="15.75" thickBot="1">
      <c r="A27" s="40"/>
      <c r="B27" s="45"/>
      <c r="C27" s="45"/>
      <c r="D27" s="45"/>
    </row>
    <row r="28" spans="1:4">
      <c r="A28" s="39" t="s">
        <v>23</v>
      </c>
      <c r="B28" s="44" t="s">
        <v>44</v>
      </c>
      <c r="C28" s="44" t="s">
        <v>61</v>
      </c>
      <c r="D28" s="44">
        <f>IF(C28="Наряды и уборщики распределены равномерно",2,IF(C28="Наряды распределены равномерно, уборщики не равномерно",1,IF(C28="Наряды и уборщики распределены не равномерно",0,)))</f>
        <v>2</v>
      </c>
    </row>
    <row r="29" spans="1:4">
      <c r="A29" s="51"/>
      <c r="B29" s="52"/>
      <c r="C29" s="52"/>
      <c r="D29" s="52"/>
    </row>
    <row r="30" spans="1:4" ht="41.25" customHeight="1" thickBot="1">
      <c r="A30" s="40"/>
      <c r="B30" s="45"/>
      <c r="C30" s="45"/>
      <c r="D30" s="45"/>
    </row>
    <row r="31" spans="1:4" ht="47.25" customHeight="1">
      <c r="A31" s="39" t="s">
        <v>25</v>
      </c>
      <c r="B31" s="44" t="s">
        <v>51</v>
      </c>
      <c r="C31" s="41" t="s">
        <v>335</v>
      </c>
      <c r="D31" s="44">
        <f>IF(C31="Подготовка проведена, на разводе замечаний нет",5,IF(C31="Подготовка проведена, на разводе более трех замечаний",3,IF(C31="Подготовка не проведена, на разводе более трех замечаний или личный состав не допущен",0,)))</f>
        <v>3</v>
      </c>
    </row>
    <row r="32" spans="1:4">
      <c r="A32" s="51"/>
      <c r="B32" s="52"/>
      <c r="C32" s="53"/>
      <c r="D32" s="52"/>
    </row>
    <row r="33" spans="1:5" ht="7.5" customHeight="1" thickBot="1">
      <c r="A33" s="40"/>
      <c r="B33" s="45"/>
      <c r="C33" s="43"/>
      <c r="D33" s="45"/>
    </row>
    <row r="34" spans="1:5">
      <c r="A34" s="39" t="s">
        <v>27</v>
      </c>
      <c r="B34" s="44" t="s">
        <v>24</v>
      </c>
      <c r="C34" s="41" t="s">
        <v>341</v>
      </c>
      <c r="D34" s="44">
        <f>IF(C34="Замечаний нет, оценка старшине не ниже «хорошо»",5,IF(C34="Замечаний не более пяти, оценка старшине не ниже «хорошо»",3,IF(C34="Замечаний более пяти или наряд отстранен, оценка старшине ниже «хорошо»",0,)))</f>
        <v>5</v>
      </c>
    </row>
    <row r="35" spans="1:5">
      <c r="A35" s="51"/>
      <c r="B35" s="52"/>
      <c r="C35" s="53"/>
      <c r="D35" s="52"/>
    </row>
    <row r="36" spans="1:5" ht="39" customHeight="1" thickBot="1">
      <c r="A36" s="40"/>
      <c r="B36" s="45"/>
      <c r="C36" s="43"/>
      <c r="D36" s="45"/>
    </row>
    <row r="37" spans="1:5">
      <c r="A37" s="39" t="s">
        <v>29</v>
      </c>
      <c r="B37" s="44" t="s">
        <v>26</v>
      </c>
      <c r="C37" s="41" t="s">
        <v>65</v>
      </c>
      <c r="D37" s="44">
        <f>IF(C37="Нарушений ТБ, приведших к травматизму л/с нет",10,0)</f>
        <v>10</v>
      </c>
    </row>
    <row r="38" spans="1:5" ht="33.75" customHeight="1" thickBot="1">
      <c r="A38" s="40"/>
      <c r="B38" s="45"/>
      <c r="C38" s="43"/>
      <c r="D38" s="45"/>
    </row>
    <row r="39" spans="1:5">
      <c r="A39" s="39" t="s">
        <v>32</v>
      </c>
      <c r="B39" s="44" t="s">
        <v>28</v>
      </c>
      <c r="C39" s="41" t="s">
        <v>52</v>
      </c>
      <c r="D39" s="44">
        <f>IF(C39="Элементы распорядка дня соблюдаются",10,IF(C39="Не более пяти нарушений распорядка дня, срывов мероприятий не допущено",5,IF(C39="Более пяти нарушений элементов распорядка дня или мероприятие сорвано »",0,)))</f>
        <v>10</v>
      </c>
    </row>
    <row r="40" spans="1:5">
      <c r="A40" s="51"/>
      <c r="B40" s="52"/>
      <c r="C40" s="53"/>
      <c r="D40" s="52"/>
    </row>
    <row r="41" spans="1:5" ht="15.75" thickBot="1">
      <c r="A41" s="40"/>
      <c r="B41" s="45"/>
      <c r="C41" s="43"/>
      <c r="D41" s="45"/>
    </row>
    <row r="42" spans="1:5">
      <c r="A42" s="39" t="s">
        <v>45</v>
      </c>
      <c r="B42" s="41" t="s">
        <v>30</v>
      </c>
      <c r="C42" s="41" t="s">
        <v>31</v>
      </c>
      <c r="D42" s="44">
        <f>IF(C42="Материальные средства подразделения в наличии, исправны, обслужены, хранятся правильно",5,0)</f>
        <v>5</v>
      </c>
    </row>
    <row r="43" spans="1:5" ht="39.75" customHeight="1" thickBot="1">
      <c r="A43" s="40"/>
      <c r="B43" s="42"/>
      <c r="C43" s="43"/>
      <c r="D43" s="45"/>
    </row>
    <row r="44" spans="1:5">
      <c r="A44" s="39" t="s">
        <v>46</v>
      </c>
      <c r="B44" s="41" t="s">
        <v>53</v>
      </c>
      <c r="C44" s="41" t="s">
        <v>49</v>
      </c>
      <c r="D44" s="44">
        <f>IF(C44="Оценка по физической подготовке (культуре) - 5",2,1)</f>
        <v>2</v>
      </c>
    </row>
    <row r="45" spans="1:5" ht="95.25" customHeight="1" thickBot="1">
      <c r="A45" s="40"/>
      <c r="B45" s="42"/>
      <c r="C45" s="43"/>
      <c r="D45" s="45"/>
    </row>
    <row r="46" spans="1:5" ht="15.75">
      <c r="A46" s="46" t="s">
        <v>34</v>
      </c>
      <c r="B46" s="47"/>
      <c r="C46" s="47"/>
      <c r="D46" s="50">
        <f>SUM(D7:D45)</f>
        <v>72</v>
      </c>
      <c r="E46" s="8"/>
    </row>
    <row r="47" spans="1:5" ht="16.5" thickBot="1">
      <c r="A47" s="48"/>
      <c r="B47" s="49"/>
      <c r="C47" s="49"/>
      <c r="D47" s="42"/>
      <c r="E47" s="8"/>
    </row>
    <row r="49" spans="1:5" ht="20.25">
      <c r="A49" s="37" t="s">
        <v>35</v>
      </c>
      <c r="B49" s="37"/>
      <c r="C49" s="37"/>
      <c r="D49" s="5"/>
      <c r="E49" s="5"/>
    </row>
    <row r="50" spans="1:5" ht="20.25">
      <c r="A50" s="38" t="s">
        <v>36</v>
      </c>
      <c r="B50" s="38"/>
      <c r="C50" s="38"/>
      <c r="D50" s="6"/>
      <c r="E50" s="6"/>
    </row>
    <row r="51" spans="1:5" ht="21">
      <c r="A51" s="9"/>
      <c r="B51" s="9"/>
      <c r="C51" s="10" t="s">
        <v>37</v>
      </c>
      <c r="D51" s="5"/>
      <c r="E51" s="9"/>
    </row>
  </sheetData>
  <mergeCells count="71">
    <mergeCell ref="D37:D38"/>
    <mergeCell ref="A44:A45"/>
    <mergeCell ref="B44:B45"/>
    <mergeCell ref="C44:C45"/>
    <mergeCell ref="D44:D45"/>
    <mergeCell ref="A37:A38"/>
    <mergeCell ref="B37:B38"/>
    <mergeCell ref="D31:D33"/>
    <mergeCell ref="A34:A36"/>
    <mergeCell ref="B34:B36"/>
    <mergeCell ref="C34:C36"/>
    <mergeCell ref="D34:D36"/>
    <mergeCell ref="A31:A33"/>
    <mergeCell ref="B31:B33"/>
    <mergeCell ref="D26:D27"/>
    <mergeCell ref="A28:A30"/>
    <mergeCell ref="B28:B30"/>
    <mergeCell ref="C28:C30"/>
    <mergeCell ref="D28:D30"/>
    <mergeCell ref="D21:D22"/>
    <mergeCell ref="A2:D2"/>
    <mergeCell ref="A3:D3"/>
    <mergeCell ref="D18:D20"/>
    <mergeCell ref="A7:A9"/>
    <mergeCell ref="B7:B9"/>
    <mergeCell ref="C7:C9"/>
    <mergeCell ref="D7:D9"/>
    <mergeCell ref="A10:A11"/>
    <mergeCell ref="B10:B11"/>
    <mergeCell ref="C10:C11"/>
    <mergeCell ref="D10:D11"/>
    <mergeCell ref="A4:E4"/>
    <mergeCell ref="D46:D47"/>
    <mergeCell ref="A39:A41"/>
    <mergeCell ref="B39:B41"/>
    <mergeCell ref="C39:C41"/>
    <mergeCell ref="D39:D41"/>
    <mergeCell ref="A42:A43"/>
    <mergeCell ref="B42:B43"/>
    <mergeCell ref="C42:C43"/>
    <mergeCell ref="D42:D43"/>
    <mergeCell ref="B18:B20"/>
    <mergeCell ref="C18:C20"/>
    <mergeCell ref="C23:C25"/>
    <mergeCell ref="A49:C49"/>
    <mergeCell ref="A50:C50"/>
    <mergeCell ref="A46:C47"/>
    <mergeCell ref="A21:A22"/>
    <mergeCell ref="B21:B22"/>
    <mergeCell ref="C21:C22"/>
    <mergeCell ref="A26:A27"/>
    <mergeCell ref="B26:B27"/>
    <mergeCell ref="C26:C27"/>
    <mergeCell ref="C31:C33"/>
    <mergeCell ref="C37:C38"/>
    <mergeCell ref="B5:B6"/>
    <mergeCell ref="C5:C6"/>
    <mergeCell ref="D5:D6"/>
    <mergeCell ref="A1:D1"/>
    <mergeCell ref="D23:D25"/>
    <mergeCell ref="A12:A14"/>
    <mergeCell ref="B12:B14"/>
    <mergeCell ref="C12:C14"/>
    <mergeCell ref="D12:D14"/>
    <mergeCell ref="A15:A17"/>
    <mergeCell ref="B15:B17"/>
    <mergeCell ref="C15:C17"/>
    <mergeCell ref="D15:D17"/>
    <mergeCell ref="A23:A25"/>
    <mergeCell ref="B23:B25"/>
    <mergeCell ref="A18:A20"/>
  </mergeCells>
  <dataValidations count="16">
    <dataValidation type="list" allowBlank="1" showInputMessage="1" showErrorMessage="1" sqref="C10:C11">
      <formula1>"В подразделении и у старшины курса отсутствуют академические задолжности, Имеются задолжности в подразделении или у старшины курса"</formula1>
    </dataValidation>
    <dataValidation type="list" allowBlank="1" showInputMessage="1" showErrorMessage="1" sqref="C12:C14">
      <formula1>"Текущие задолжности в подразделении и старшины курса отсутствуют,Имеются менее 10% задолжностей в подразделении или у старшины курса,Имеютя более 10% задолжностей в подразделении или старшины курса"</formula1>
    </dataValidation>
    <dataValidation type="list" allowBlank="1" showInputMessage="1" showErrorMessage="1" sqref="C7:C9">
      <formula1>$E$7:$E$9</formula1>
    </dataValidation>
    <dataValidation type="list" allowBlank="1" showInputMessage="1" showErrorMessage="1" sqref="C15:C17">
      <formula1>"Замечаний нет,Имеются замечания"</formula1>
    </dataValidation>
    <dataValidation type="list" allowBlank="1" showInputMessage="1" showErrorMessage="1" sqref="C18:C20">
      <formula1>"ПРО, ПРЕ, ГДП в подразделении и старшины курса отсутствуют, ПРО, ПРЕ отсутствуют, имеются не снятые взыскания за ГДП в подразделении, у старшины курса отсутствуют, Совершено ПРО, ПРЕ, ГДП в подразделении или старшины курса или допущено сокрытие"</formula1>
    </dataValidation>
    <dataValidation type="list" allowBlank="1" showInputMessage="1" showErrorMessage="1" sqref="C21:C22">
      <formula1>"Дисциплинарная практика к подчиненному личному составу ведется,Дисциплинарная практика к подчиненному личному составу не реализуется или старшина курса имеет дисциплинарные взыскания"</formula1>
    </dataValidation>
    <dataValidation type="list" allowBlank="1" showInputMessage="1" showErrorMessage="1" sqref="G7">
      <formula1>"яблоко,ананас,кефир"</formula1>
    </dataValidation>
    <dataValidation type="list" allowBlank="1" showInputMessage="1" showErrorMessage="1" sqref="C23:C25">
      <formula1>"Обстановкой владеет, доклады представляет, книжка сержантов актуальна,Обстановкой владеет, доклады представляет, книжка сержантов не актуальна,Обстановкой не владеет, доклады не представляет, книжка сержантов не актуальна"</formula1>
    </dataValidation>
    <dataValidation type="list" allowBlank="1" showInputMessage="1" showErrorMessage="1" sqref="C26:C27">
      <formula1>"Увольнения между учебными группами распределены равномерно,Увольнение между учебными группами распределены не равномерно"</formula1>
    </dataValidation>
    <dataValidation type="list" allowBlank="1" showInputMessage="1" showErrorMessage="1" sqref="C28:C30">
      <formula1>"Наряды и уборщики распределены равномерно,Наряды распределены равномерно, уборщики не равномерно,Наряды и уборщики распределены не равномерно"</formula1>
    </dataValidation>
    <dataValidation type="list" allowBlank="1" showInputMessage="1" showErrorMessage="1" sqref="C31:C33">
      <formula1>"Подготовка проведена, на разводе замечаний нет,Подготовка проведена, на разводе более трех замечаний,Подготовка не проведена, на разводе более трех замечаний или личный состав не допущен,"</formula1>
    </dataValidation>
    <dataValidation type="list" allowBlank="1" showInputMessage="1" showErrorMessage="1" sqref="C34:C36">
      <formula1>"Замечаний нет, оценка старшине не ниже «хорошо»,Замечаний не более пяти, оценка старшине не ниже «хорошо»,Замечаний более пяти или наряд отстранен, оценка старшине ниже «хорошо»"</formula1>
    </dataValidation>
    <dataValidation type="list" allowBlank="1" showInputMessage="1" showErrorMessage="1" sqref="C37:C38">
      <formula1>"Нарушений ТБ, приведших к травматизму л/с нет,Есть нарушения ТБ, приведших к травматизму л/с"</formula1>
    </dataValidation>
    <dataValidation type="list" allowBlank="1" showInputMessage="1" showErrorMessage="1" sqref="C39:C41">
      <formula1>"Элементы распорядка дня соблюдаются,Не более пяти нарушений распорядка дня, срывов мероприятий не допущено,Более пяти нарушений элементов распорядка дня или мероприятие сорвано "</formula1>
    </dataValidation>
    <dataValidation type="list" allowBlank="1" showInputMessage="1" showErrorMessage="1" sqref="C42:C43">
      <formula1>"Материальные средства подразделения в наличии, исправны, обслужены, хранятся правильно,Не выполнены предъявляемые критерии "</formula1>
    </dataValidation>
    <dataValidation type="list" allowBlank="1" showInputMessage="1" showErrorMessage="1" sqref="C44:C45">
      <formula1>"Оценка по физической подготовке (культуре) - 5,Оценка по физической подготовке (культуре) - 4"</formula1>
    </dataValidation>
  </dataValidation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sheetPr>
    <tabColor rgb="FFFF0000"/>
  </sheetPr>
  <dimension ref="A1:L56"/>
  <sheetViews>
    <sheetView workbookViewId="0">
      <selection activeCell="G1" sqref="G1:L1048576"/>
    </sheetView>
  </sheetViews>
  <sheetFormatPr defaultRowHeight="15"/>
  <cols>
    <col min="2" max="2" width="26" customWidth="1"/>
    <col min="3" max="3" width="58.5703125" customWidth="1"/>
    <col min="4" max="4" width="28.5703125" customWidth="1"/>
    <col min="5" max="5" width="0.140625" customWidth="1"/>
    <col min="6" max="6" width="0.42578125" customWidth="1"/>
    <col min="7" max="11" width="9.140625" hidden="1" customWidth="1"/>
    <col min="12" max="12" width="12" hidden="1" customWidth="1"/>
    <col min="13" max="13" width="9.140625" customWidth="1"/>
  </cols>
  <sheetData>
    <row r="1" spans="1:12" ht="20.25">
      <c r="A1" s="56" t="s">
        <v>0</v>
      </c>
      <c r="B1" s="56"/>
      <c r="C1" s="56"/>
      <c r="D1" s="56"/>
      <c r="E1" s="56"/>
    </row>
    <row r="2" spans="1:12" ht="18.75">
      <c r="A2" s="57" t="s">
        <v>1</v>
      </c>
      <c r="B2" s="57"/>
      <c r="C2" s="57"/>
      <c r="D2" s="57"/>
      <c r="E2" s="57"/>
    </row>
    <row r="3" spans="1:12" ht="18.75" customHeight="1">
      <c r="A3" s="58" t="s">
        <v>258</v>
      </c>
      <c r="B3" s="57"/>
      <c r="C3" s="57"/>
      <c r="D3" s="57"/>
      <c r="E3" s="57"/>
    </row>
    <row r="4" spans="1:12" ht="16.5" thickBot="1">
      <c r="A4" s="59"/>
      <c r="B4" s="59"/>
      <c r="C4" s="59"/>
      <c r="D4" s="59"/>
      <c r="E4" s="59"/>
    </row>
    <row r="5" spans="1:12" ht="15.75" customHeight="1">
      <c r="A5" s="2" t="s">
        <v>3</v>
      </c>
      <c r="B5" s="60" t="s">
        <v>54</v>
      </c>
      <c r="C5" s="60" t="s">
        <v>55</v>
      </c>
      <c r="D5" s="60" t="s">
        <v>42</v>
      </c>
    </row>
    <row r="6" spans="1:12" ht="16.5" thickBot="1">
      <c r="A6" s="4" t="s">
        <v>4</v>
      </c>
      <c r="B6" s="61"/>
      <c r="C6" s="61"/>
      <c r="D6" s="61"/>
    </row>
    <row r="7" spans="1:12" ht="15" customHeight="1">
      <c r="A7" s="39" t="s">
        <v>5</v>
      </c>
      <c r="B7" s="44" t="s">
        <v>6</v>
      </c>
      <c r="C7" s="44" t="s">
        <v>343</v>
      </c>
      <c r="D7" s="44">
        <f>IF(IFERROR(SEARCH("подразделения ≥ 4,5", C7), 0) &gt; 0, 5, IF(IFERROR(SEARCH("подразделения ≥ 4,0", C7), 0) &gt; 0, 3, IF(IFERROR(SEARCH("&lt;", C7), 0) &gt; 0, 0,)))</f>
        <v>3</v>
      </c>
      <c r="F7">
        <v>5</v>
      </c>
      <c r="G7" s="16" t="s">
        <v>344</v>
      </c>
    </row>
    <row r="8" spans="1:12" ht="15" customHeight="1">
      <c r="A8" s="51"/>
      <c r="B8" s="54"/>
      <c r="C8" s="52"/>
      <c r="D8" s="52"/>
      <c r="F8">
        <v>3</v>
      </c>
      <c r="G8" s="17" t="s">
        <v>343</v>
      </c>
    </row>
    <row r="9" spans="1:12" ht="18.75" customHeight="1" thickBot="1">
      <c r="A9" s="40"/>
      <c r="B9" s="55"/>
      <c r="C9" s="45"/>
      <c r="D9" s="45"/>
      <c r="F9">
        <v>0</v>
      </c>
      <c r="G9" s="18" t="s">
        <v>345</v>
      </c>
    </row>
    <row r="10" spans="1:12" ht="15" customHeight="1">
      <c r="A10" s="39" t="s">
        <v>7</v>
      </c>
      <c r="B10" s="44" t="s">
        <v>8</v>
      </c>
      <c r="C10" s="44" t="s">
        <v>70</v>
      </c>
      <c r="D10" s="44">
        <f>IF(C10="Академические задолжности отсутствуют",10,0)</f>
        <v>0</v>
      </c>
      <c r="F10">
        <v>10</v>
      </c>
    </row>
    <row r="11" spans="1:12" ht="15.75" customHeight="1" thickBot="1">
      <c r="A11" s="40"/>
      <c r="B11" s="45"/>
      <c r="C11" s="45"/>
      <c r="D11" s="45"/>
      <c r="F11">
        <v>0</v>
      </c>
    </row>
    <row r="12" spans="1:12" ht="15" customHeight="1">
      <c r="A12" s="39" t="s">
        <v>9</v>
      </c>
      <c r="B12" s="44" t="s">
        <v>10</v>
      </c>
      <c r="C12" s="44" t="s">
        <v>266</v>
      </c>
      <c r="D12" s="44">
        <f>IF(C12="В подразделении и у КУГ отсутствуют текущие задолжности",5,IF(C12="Имеются менее 20% текущих задолжностей в подразделении или у КУГ",3,IF(C12="Имеются более 20% текущих задолжностей в подразделении или у КУГ",0,)))</f>
        <v>5</v>
      </c>
      <c r="F12">
        <v>5</v>
      </c>
    </row>
    <row r="13" spans="1:12" ht="15" customHeight="1">
      <c r="A13" s="51"/>
      <c r="B13" s="52"/>
      <c r="C13" s="52"/>
      <c r="D13" s="52"/>
      <c r="F13">
        <v>3</v>
      </c>
    </row>
    <row r="14" spans="1:12" ht="15.75" customHeight="1" thickBot="1">
      <c r="A14" s="40"/>
      <c r="B14" s="45"/>
      <c r="C14" s="45"/>
      <c r="D14" s="45"/>
      <c r="F14">
        <v>0</v>
      </c>
    </row>
    <row r="15" spans="1:12" ht="15" customHeight="1">
      <c r="A15" s="39" t="s">
        <v>11</v>
      </c>
      <c r="B15" s="44" t="s">
        <v>39</v>
      </c>
      <c r="C15" s="64" t="s">
        <v>40</v>
      </c>
      <c r="D15" s="44">
        <f>IF(C15="Подразделение прибыло на занятие своевременно; дежурный по аудитории назначен; ЖУУЗ и классная доска оформлены; литература, конспекты, ПЭВМ (по необходимости) получены; внутренний порядок в аудитории поддерживается",5,IF(C15="Подразделение прибыло на занятие своевременно; дежурный по аудитории назначен; литература, конспекты, ПЭВМ (по необходимости) получены; ЖУУЗ или классная доска оформлены не своевременно; или имеются отклонения по  внутреннему порядку в аудитории",3,IF(C15="одразделение опоздало на занятие; или ЖУУЗ и классная доска не оформлены; литература, конспекты, ПЭВМ (по необходимости) не получены; или внутренний порядок в аудитории не поддерживается ",0,)))</f>
        <v>5</v>
      </c>
      <c r="F15">
        <v>5</v>
      </c>
      <c r="L15" s="13" t="s">
        <v>40</v>
      </c>
    </row>
    <row r="16" spans="1:12" ht="15" customHeight="1">
      <c r="A16" s="51"/>
      <c r="B16" s="52"/>
      <c r="C16" s="62"/>
      <c r="D16" s="52"/>
      <c r="F16">
        <v>3</v>
      </c>
      <c r="L16" s="13" t="s">
        <v>77</v>
      </c>
    </row>
    <row r="17" spans="1:12" ht="52.5" customHeight="1" thickBot="1">
      <c r="A17" s="40"/>
      <c r="B17" s="45"/>
      <c r="C17" s="63"/>
      <c r="D17" s="45"/>
      <c r="F17">
        <v>0</v>
      </c>
      <c r="L17" t="s">
        <v>78</v>
      </c>
    </row>
    <row r="18" spans="1:12" ht="15" customHeight="1" thickBot="1">
      <c r="A18" s="39" t="s">
        <v>13</v>
      </c>
      <c r="B18" s="44" t="s">
        <v>41</v>
      </c>
      <c r="C18" s="64" t="s">
        <v>79</v>
      </c>
      <c r="D18" s="44">
        <f>IF(IFERROR(SEARCH("30%", C18), 0) &gt; 0, 5, IF(IFERROR(SEARCH("10%", C18), 0) &gt; 0, 3, IF(IFERROR(SEARCH("не получены", C18), 0) &gt; 0, 0,)))</f>
        <v>5</v>
      </c>
      <c r="F18">
        <v>10</v>
      </c>
      <c r="L18" s="14" t="s">
        <v>79</v>
      </c>
    </row>
    <row r="19" spans="1:12" ht="15" customHeight="1">
      <c r="A19" s="51"/>
      <c r="B19" s="52"/>
      <c r="C19" s="62"/>
      <c r="D19" s="52"/>
      <c r="F19">
        <v>2</v>
      </c>
      <c r="L19" s="13" t="s">
        <v>80</v>
      </c>
    </row>
    <row r="20" spans="1:12" ht="105" customHeight="1" thickBot="1">
      <c r="A20" s="40"/>
      <c r="B20" s="45"/>
      <c r="C20" s="63"/>
      <c r="D20" s="45"/>
      <c r="F20">
        <v>0</v>
      </c>
      <c r="L20" s="13" t="s">
        <v>81</v>
      </c>
    </row>
    <row r="21" spans="1:12" ht="15" customHeight="1">
      <c r="A21" s="39" t="s">
        <v>15</v>
      </c>
      <c r="B21" s="44" t="s">
        <v>12</v>
      </c>
      <c r="C21" s="41" t="s">
        <v>73</v>
      </c>
      <c r="D21" s="44">
        <f>IF(C21="Замечания в подразделении и у КУГ отсутствуют",5,IF(C21="В подразделении 2 замечания у КУГ отсутствуют",3,IF(C21="В подразделении 3 и более замечаний или замечания у КУГ",0,)))</f>
        <v>5</v>
      </c>
      <c r="F21">
        <v>5</v>
      </c>
    </row>
    <row r="22" spans="1:12" ht="15.75" customHeight="1">
      <c r="A22" s="51"/>
      <c r="B22" s="52"/>
      <c r="C22" s="53"/>
      <c r="D22" s="52"/>
      <c r="F22">
        <v>0</v>
      </c>
    </row>
    <row r="23" spans="1:12" ht="82.5" customHeight="1" thickBot="1">
      <c r="A23" s="40"/>
      <c r="B23" s="45"/>
      <c r="C23" s="43"/>
      <c r="D23" s="45"/>
      <c r="F23">
        <v>10</v>
      </c>
    </row>
    <row r="24" spans="1:12" ht="15" customHeight="1">
      <c r="A24" s="39" t="s">
        <v>17</v>
      </c>
      <c r="B24" s="44" t="s">
        <v>14</v>
      </c>
      <c r="C24" s="41" t="s">
        <v>262</v>
      </c>
      <c r="D24" s="44">
        <f>IF(C24="ПРО, ПРЕ, ГДП в подразделении и КУГ отсутствуют",10,IF(C24="ПРО, ПРЕ отсутствуют, имеются не снятые взыскания за ГДП в подразделении, у КУГ отсутствуют",2,IF(C24="Совершено ПРО, ПРЕ, ГДП в подразделении или КУГ или допущено сокрытие",0,)))</f>
        <v>10</v>
      </c>
      <c r="F24">
        <v>5</v>
      </c>
    </row>
    <row r="25" spans="1:12" ht="15.75" customHeight="1">
      <c r="A25" s="51"/>
      <c r="B25" s="52"/>
      <c r="C25" s="53"/>
      <c r="D25" s="52"/>
      <c r="F25">
        <v>0</v>
      </c>
    </row>
    <row r="26" spans="1:12" ht="52.5" customHeight="1" thickBot="1">
      <c r="A26" s="40"/>
      <c r="B26" s="45"/>
      <c r="C26" s="43"/>
      <c r="D26" s="45"/>
      <c r="F26">
        <v>3</v>
      </c>
    </row>
    <row r="27" spans="1:12" ht="15.75" customHeight="1">
      <c r="A27" s="39" t="s">
        <v>20</v>
      </c>
      <c r="B27" s="44" t="s">
        <v>16</v>
      </c>
      <c r="C27" s="41" t="s">
        <v>57</v>
      </c>
      <c r="D27" s="44">
        <f>IF(C27="Дисциплинарная практика к подчиненному личному составу ведется",5,0)</f>
        <v>5</v>
      </c>
      <c r="F27">
        <v>0</v>
      </c>
    </row>
    <row r="28" spans="1:12" ht="15" customHeight="1" thickBot="1">
      <c r="A28" s="40"/>
      <c r="B28" s="45"/>
      <c r="C28" s="43"/>
      <c r="D28" s="45"/>
      <c r="F28">
        <v>5</v>
      </c>
    </row>
    <row r="29" spans="1:12" ht="15" customHeight="1">
      <c r="A29" s="39" t="s">
        <v>23</v>
      </c>
      <c r="B29" s="44" t="s">
        <v>18</v>
      </c>
      <c r="C29" s="41" t="s">
        <v>60</v>
      </c>
      <c r="D29" s="44">
        <f>IF(C29="Обстановкой владеет, доклады представляет, книжка сержантов актуальна",10,IF(C29="Обстановкой владеет, доклады представляет, книжка сержантов не актуальна",5,IF(C29="Обстановкой не владеет, доклады не представляет, книжка сержантов не актуальна",0,)))</f>
        <v>10</v>
      </c>
      <c r="F29">
        <v>3</v>
      </c>
    </row>
    <row r="30" spans="1:12" ht="15.75" customHeight="1">
      <c r="A30" s="51"/>
      <c r="B30" s="52"/>
      <c r="C30" s="53"/>
      <c r="D30" s="52"/>
      <c r="F30">
        <v>0</v>
      </c>
    </row>
    <row r="31" spans="1:12" ht="105" customHeight="1" thickBot="1">
      <c r="A31" s="40"/>
      <c r="B31" s="45"/>
      <c r="C31" s="43"/>
      <c r="D31" s="45"/>
      <c r="F31">
        <v>10</v>
      </c>
    </row>
    <row r="32" spans="1:12" ht="26.25" customHeight="1">
      <c r="A32" s="39" t="s">
        <v>25</v>
      </c>
      <c r="B32" s="44" t="s">
        <v>21</v>
      </c>
      <c r="C32" s="41" t="s">
        <v>75</v>
      </c>
      <c r="D32" s="44">
        <f>IF(C32="Подведение итогов актуально, поставлены конкретные задачи и проводится в установленное время",3,0)</f>
        <v>3</v>
      </c>
      <c r="F32">
        <v>0</v>
      </c>
    </row>
    <row r="33" spans="1:6" ht="30" customHeight="1" thickBot="1">
      <c r="A33" s="40"/>
      <c r="B33" s="45"/>
      <c r="C33" s="43"/>
      <c r="D33" s="45"/>
      <c r="F33">
        <v>10</v>
      </c>
    </row>
    <row r="34" spans="1:6" ht="15" customHeight="1">
      <c r="A34" s="51" t="s">
        <v>27</v>
      </c>
      <c r="B34" s="52" t="s">
        <v>43</v>
      </c>
      <c r="C34" s="41" t="s">
        <v>263</v>
      </c>
      <c r="D34" s="62">
        <f>IF(C34="Увольнения распределены равномерно",2,0)</f>
        <v>2</v>
      </c>
      <c r="F34">
        <v>5</v>
      </c>
    </row>
    <row r="35" spans="1:6" ht="15.75" customHeight="1" thickBot="1">
      <c r="A35" s="40"/>
      <c r="B35" s="45"/>
      <c r="C35" s="43"/>
      <c r="D35" s="63"/>
      <c r="F35">
        <v>0</v>
      </c>
    </row>
    <row r="36" spans="1:6" ht="15" customHeight="1">
      <c r="A36" s="39" t="s">
        <v>29</v>
      </c>
      <c r="B36" s="44" t="s">
        <v>44</v>
      </c>
      <c r="C36" s="44" t="s">
        <v>61</v>
      </c>
      <c r="D36" s="64">
        <f>IF(C36="Наряды и уборщики распределены равномерно",2,IF(C36="Наряды распределены равномерно, уборщики не равномерно",1,IF(C36="Наряды и уборщики распределены не равномерно",0,)))</f>
        <v>2</v>
      </c>
      <c r="F36">
        <v>5</v>
      </c>
    </row>
    <row r="37" spans="1:6" ht="15.75" customHeight="1">
      <c r="A37" s="51"/>
      <c r="B37" s="52"/>
      <c r="C37" s="52"/>
      <c r="D37" s="62"/>
      <c r="F37">
        <v>0</v>
      </c>
    </row>
    <row r="38" spans="1:6" ht="38.25" customHeight="1" thickBot="1">
      <c r="A38" s="40"/>
      <c r="B38" s="45"/>
      <c r="C38" s="45"/>
      <c r="D38" s="63"/>
      <c r="F38">
        <v>2</v>
      </c>
    </row>
    <row r="39" spans="1:6" ht="15.75" customHeight="1">
      <c r="A39" s="39" t="s">
        <v>32</v>
      </c>
      <c r="B39" s="44" t="s">
        <v>24</v>
      </c>
      <c r="C39" s="41" t="s">
        <v>336</v>
      </c>
      <c r="D39" s="44">
        <f>IF(C39="Замечания у подчиненного л/с отсутствуют, КУГ оценен не ниже «хорошо»",5,IF(C39="Выявлено не более 2 замечаний у подчиненного л/с, КУГ оценен не ниже «хорошо»",3,IF(C39="Л/с отстранен или выявлено более 2 замечаний, КУГ оценен ниже «хорошо»",0,)))</f>
        <v>3</v>
      </c>
      <c r="F39">
        <v>1</v>
      </c>
    </row>
    <row r="40" spans="1:6" ht="15" customHeight="1">
      <c r="A40" s="51"/>
      <c r="B40" s="52"/>
      <c r="C40" s="53"/>
      <c r="D40" s="52"/>
    </row>
    <row r="41" spans="1:6" ht="40.5" customHeight="1" thickBot="1">
      <c r="A41" s="40"/>
      <c r="B41" s="45"/>
      <c r="C41" s="43"/>
      <c r="D41" s="45"/>
    </row>
    <row r="42" spans="1:6">
      <c r="A42" s="39" t="s">
        <v>45</v>
      </c>
      <c r="B42" s="44" t="s">
        <v>26</v>
      </c>
      <c r="C42" s="41" t="s">
        <v>65</v>
      </c>
      <c r="D42" s="44">
        <f>IF(C42="Нарушений ТБ, приведших к травматизму л/с нет",10,0)</f>
        <v>10</v>
      </c>
    </row>
    <row r="43" spans="1:6" ht="44.25" customHeight="1" thickBot="1">
      <c r="A43" s="40"/>
      <c r="B43" s="45"/>
      <c r="C43" s="43"/>
      <c r="D43" s="45"/>
    </row>
    <row r="44" spans="1:6">
      <c r="A44" s="39" t="s">
        <v>46</v>
      </c>
      <c r="B44" s="44" t="s">
        <v>28</v>
      </c>
      <c r="C44" s="41" t="s">
        <v>52</v>
      </c>
      <c r="D44" s="44">
        <f>IF(C44="Элементы распорядка дня соблюдаются",10,IF(C44="Не более пяти нарушений распорядка дня, срывов мероприятий не допущено",5,IF(C44="Более пяти нарушений элементов распорядка дня или мероприятие сорвано",0,)))</f>
        <v>10</v>
      </c>
    </row>
    <row r="45" spans="1:6">
      <c r="A45" s="51"/>
      <c r="B45" s="52"/>
      <c r="C45" s="53"/>
      <c r="D45" s="52"/>
    </row>
    <row r="46" spans="1:6" ht="15.75" thickBot="1">
      <c r="A46" s="40"/>
      <c r="B46" s="45"/>
      <c r="C46" s="43"/>
      <c r="D46" s="45"/>
    </row>
    <row r="47" spans="1:6">
      <c r="A47" s="39" t="s">
        <v>47</v>
      </c>
      <c r="B47" s="44" t="s">
        <v>30</v>
      </c>
      <c r="C47" s="41" t="s">
        <v>31</v>
      </c>
      <c r="D47" s="44">
        <f>IF(C47="Материальные средства подразделения в наличии, исправны, обслужены, хранятся правильно",5,0)</f>
        <v>5</v>
      </c>
    </row>
    <row r="48" spans="1:6" ht="45" customHeight="1" thickBot="1">
      <c r="A48" s="40"/>
      <c r="B48" s="45"/>
      <c r="C48" s="43"/>
      <c r="D48" s="45"/>
    </row>
    <row r="49" spans="1:5">
      <c r="A49" s="39" t="s">
        <v>48</v>
      </c>
      <c r="B49" s="44" t="s">
        <v>33</v>
      </c>
      <c r="C49" s="41" t="s">
        <v>49</v>
      </c>
      <c r="D49" s="44">
        <f>IF(C49="Оценка по физической подготовке (культуре) - 5",2,1)</f>
        <v>2</v>
      </c>
    </row>
    <row r="50" spans="1:5" ht="97.5" customHeight="1" thickBot="1">
      <c r="A50" s="40"/>
      <c r="B50" s="45"/>
      <c r="C50" s="43"/>
      <c r="D50" s="45"/>
    </row>
    <row r="51" spans="1:5" ht="15.75">
      <c r="A51" s="46" t="s">
        <v>34</v>
      </c>
      <c r="B51" s="47"/>
      <c r="C51" s="47"/>
      <c r="D51" s="50">
        <f>SUM(D7:D50)</f>
        <v>85</v>
      </c>
      <c r="E51" s="8"/>
    </row>
    <row r="52" spans="1:5" ht="16.5" thickBot="1">
      <c r="A52" s="48"/>
      <c r="B52" s="49"/>
      <c r="C52" s="49"/>
      <c r="D52" s="42"/>
      <c r="E52" s="8"/>
    </row>
    <row r="54" spans="1:5" ht="20.25">
      <c r="A54" s="37" t="s">
        <v>35</v>
      </c>
      <c r="B54" s="37"/>
      <c r="C54" s="37"/>
      <c r="D54" s="37"/>
      <c r="E54" s="37"/>
    </row>
    <row r="55" spans="1:5" ht="20.25">
      <c r="A55" s="38" t="s">
        <v>36</v>
      </c>
      <c r="B55" s="38"/>
      <c r="C55" s="38"/>
      <c r="D55" s="38"/>
      <c r="E55" s="38"/>
    </row>
    <row r="56" spans="1:5" ht="21">
      <c r="A56" s="9"/>
      <c r="B56" s="9"/>
      <c r="C56" s="10" t="s">
        <v>37</v>
      </c>
      <c r="D56" s="5"/>
      <c r="E56" s="9"/>
    </row>
  </sheetData>
  <mergeCells count="79">
    <mergeCell ref="A1:E1"/>
    <mergeCell ref="A2:E2"/>
    <mergeCell ref="A3:E3"/>
    <mergeCell ref="A4:E4"/>
    <mergeCell ref="B5:B6"/>
    <mergeCell ref="C5:C6"/>
    <mergeCell ref="D5:D6"/>
    <mergeCell ref="A7:A9"/>
    <mergeCell ref="B7:B9"/>
    <mergeCell ref="C7:C9"/>
    <mergeCell ref="D7:D9"/>
    <mergeCell ref="A10:A11"/>
    <mergeCell ref="B10:B11"/>
    <mergeCell ref="C10:C11"/>
    <mergeCell ref="D10:D11"/>
    <mergeCell ref="A12:A14"/>
    <mergeCell ref="B12:B14"/>
    <mergeCell ref="C12:C14"/>
    <mergeCell ref="D12:D14"/>
    <mergeCell ref="A15:A17"/>
    <mergeCell ref="B15:B17"/>
    <mergeCell ref="C15:C17"/>
    <mergeCell ref="D15:D17"/>
    <mergeCell ref="A18:A20"/>
    <mergeCell ref="B18:B20"/>
    <mergeCell ref="C18:C20"/>
    <mergeCell ref="D18:D20"/>
    <mergeCell ref="A21:A23"/>
    <mergeCell ref="B21:B23"/>
    <mergeCell ref="C21:C23"/>
    <mergeCell ref="D21:D23"/>
    <mergeCell ref="A24:A26"/>
    <mergeCell ref="B24:B26"/>
    <mergeCell ref="C24:C26"/>
    <mergeCell ref="D24:D26"/>
    <mergeCell ref="A27:A28"/>
    <mergeCell ref="B27:B28"/>
    <mergeCell ref="C27:C28"/>
    <mergeCell ref="D27:D28"/>
    <mergeCell ref="A29:A31"/>
    <mergeCell ref="B29:B31"/>
    <mergeCell ref="C29:C31"/>
    <mergeCell ref="D29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8"/>
    <mergeCell ref="B36:B38"/>
    <mergeCell ref="C36:C38"/>
    <mergeCell ref="D36:D38"/>
    <mergeCell ref="A39:A41"/>
    <mergeCell ref="B39:B41"/>
    <mergeCell ref="C39:C41"/>
    <mergeCell ref="D39:D41"/>
    <mergeCell ref="A42:A43"/>
    <mergeCell ref="B42:B43"/>
    <mergeCell ref="C42:C43"/>
    <mergeCell ref="D42:D43"/>
    <mergeCell ref="A44:A46"/>
    <mergeCell ref="B44:B46"/>
    <mergeCell ref="C44:C46"/>
    <mergeCell ref="D44:D46"/>
    <mergeCell ref="A47:A48"/>
    <mergeCell ref="B47:B48"/>
    <mergeCell ref="C47:C48"/>
    <mergeCell ref="D47:D48"/>
    <mergeCell ref="A54:E54"/>
    <mergeCell ref="A55:E55"/>
    <mergeCell ref="A49:A50"/>
    <mergeCell ref="B49:B50"/>
    <mergeCell ref="C49:C50"/>
    <mergeCell ref="D49:D50"/>
    <mergeCell ref="A51:C52"/>
    <mergeCell ref="D51:D52"/>
  </mergeCells>
  <dataValidations count="17">
    <dataValidation type="list" allowBlank="1" showInputMessage="1" showErrorMessage="1" sqref="C18:C20">
      <formula1>$L$18:$L$20</formula1>
    </dataValidation>
    <dataValidation type="list" allowBlank="1" showInputMessage="1" showErrorMessage="1" sqref="C49:C50">
      <formula1>"Оценка по физической подготовке (культуре) - 5,Оценка по физической подготовке (культуре) - 4"</formula1>
    </dataValidation>
    <dataValidation type="list" allowBlank="1" showInputMessage="1" showErrorMessage="1" sqref="C47:C48">
      <formula1>"Материальные средства подразделения в наличии, исправны, обслужены, хранятся правильно,Не выполнены предъявляемые критерии "</formula1>
    </dataValidation>
    <dataValidation type="list" allowBlank="1" showInputMessage="1" showErrorMessage="1" sqref="C44:C46">
      <formula1>"Элементы распорядка дня соблюдаются,Не более пяти нарушений распорядка дня, срывов мероприятий не допущено,Более пяти нарушений элементов распорядка дня или мероприятие сорвано"</formula1>
    </dataValidation>
    <dataValidation type="list" allowBlank="1" showInputMessage="1" showErrorMessage="1" sqref="C42:C43">
      <formula1>"Нарушений ТБ, приведших к травматизму л/с нет,Есть нарушения ТБ, приведших к травматизму л/с"</formula1>
    </dataValidation>
    <dataValidation type="list" allowBlank="1" showInputMessage="1" showErrorMessage="1" sqref="C39:C41">
      <formula1>"Замечания у подчиненного л/с отсутствуют, КУГ оценен не ниже «хорошо»,Выявлено не более 2 замечаний у подчиненного л/с, КУГ оценен не ниже «хорошо»,Л/с отстранен или выявлено более 2 замечаний, КУГ оценен ниже «хорошо»,"</formula1>
    </dataValidation>
    <dataValidation type="list" allowBlank="1" showInputMessage="1" showErrorMessage="1" sqref="C36:C38">
      <formula1>"Наряды и уборщики распределены равномерно,Наряды распределены равномерно, уборщики не равномерно,Наряды и уборщики распределены не равномерно"</formula1>
    </dataValidation>
    <dataValidation type="list" allowBlank="1" showInputMessage="1" showErrorMessage="1" sqref="C34:C35">
      <formula1>"Увольнения распределены равномерно,Увольнения распределяются не равномерно"</formula1>
    </dataValidation>
    <dataValidation type="list" allowBlank="1" showInputMessage="1" showErrorMessage="1" sqref="C32:C33">
      <formula1>"Подведение итогов актуально, поставлены конкретные задачи и проводится в установленное время,Подведение итогов не актуально, не поставлены задачи или не проводится"</formula1>
    </dataValidation>
    <dataValidation type="list" allowBlank="1" showInputMessage="1" showErrorMessage="1" sqref="C29:C31">
      <formula1>"Обстановкой владеет, доклады представляет, книжка сержантов актуальна,Обстановкой владеет, доклады представляет, книжка сержантов не актуальна,Обстановкой не владеет, доклады не представляет, книжка сержантов не актуальна"</formula1>
    </dataValidation>
    <dataValidation type="list" allowBlank="1" showInputMessage="1" showErrorMessage="1" sqref="C27:C28">
      <formula1>"Дисциплинарная практика к подчиненному личному составу ведется,Дисциплинарная практика к подчиненному личному составу не реализуется или КУГ имеет дисциплинарные взыскания"</formula1>
    </dataValidation>
    <dataValidation type="list" allowBlank="1" showInputMessage="1" showErrorMessage="1" sqref="C24:C26">
      <formula1>"ПРО, ПРЕ, ГДП в подразделении и КУГ отсутствуют, ПРО, ПРЕ отсутствуют, имеются не снятые взыскания за ГДП в подразделении, у КУГ отсутствуют, Совершено ПРО, ПРЕ, ГДП в подразделении или КУГ или допущено сокрытие"</formula1>
    </dataValidation>
    <dataValidation type="list" allowBlank="1" showInputMessage="1" showErrorMessage="1" sqref="C21:C23">
      <formula1>"Замечания в подразделении и у КУГ отсутствуют,В подразделении 2 замечания у КУГ отсутствуют,В подразделении 3 и более замечаний или замечания у КУГ"</formula1>
    </dataValidation>
    <dataValidation type="list" allowBlank="1" showInputMessage="1" showErrorMessage="1" sqref="C15:C17">
      <formula1>$L$15:$L$17</formula1>
    </dataValidation>
    <dataValidation type="list" allowBlank="1" showInputMessage="1" showErrorMessage="1" sqref="C12:C14">
      <formula1>"В подразделении и у КУГ отсутствуют текущие задолжности,Имеются менее 20% текущих задолжностей в подразделении или у КУГ,Имеются более 20% текущих задолжностей в подразделении или у КУГ"</formula1>
    </dataValidation>
    <dataValidation type="list" allowBlank="1" showInputMessage="1" showErrorMessage="1" sqref="C10:C11">
      <formula1>"Академические задолжности отсутствуют, Имеются академические задолжности в учебной группе или у КУГ"</formula1>
    </dataValidation>
    <dataValidation type="list" allowBlank="1" showInputMessage="1" showErrorMessage="1" sqref="C7:C9">
      <formula1>$G$7:$G$9</formula1>
    </dataValidation>
  </dataValidations>
  <pageMargins left="0.7" right="0.7" top="0.75" bottom="0.75" header="0.3" footer="0.3"/>
  <pageSetup paperSize="9" orientation="portrait" verticalDpi="0" r:id="rId1"/>
</worksheet>
</file>

<file path=xl/worksheets/sheet53.xml><?xml version="1.0" encoding="utf-8"?>
<worksheet xmlns="http://schemas.openxmlformats.org/spreadsheetml/2006/main" xmlns:r="http://schemas.openxmlformats.org/officeDocument/2006/relationships">
  <sheetPr>
    <tabColor rgb="FFFF0000"/>
  </sheetPr>
  <dimension ref="A1:U46"/>
  <sheetViews>
    <sheetView topLeftCell="A28" zoomScale="115" zoomScaleNormal="115" workbookViewId="0">
      <selection activeCell="C31" sqref="C31:C32"/>
    </sheetView>
  </sheetViews>
  <sheetFormatPr defaultRowHeight="15"/>
  <cols>
    <col min="2" max="2" width="26" customWidth="1"/>
    <col min="3" max="3" width="58.5703125" customWidth="1"/>
    <col min="4" max="4" width="28.42578125" customWidth="1"/>
    <col min="5" max="5" width="24.140625" hidden="1" customWidth="1"/>
    <col min="6" max="6" width="24" hidden="1" customWidth="1"/>
    <col min="7" max="7" width="19.42578125" hidden="1" customWidth="1"/>
    <col min="8" max="8" width="18.42578125" customWidth="1"/>
  </cols>
  <sheetData>
    <row r="1" spans="1:21" ht="20.25">
      <c r="A1" s="56" t="s">
        <v>0</v>
      </c>
      <c r="B1" s="56"/>
      <c r="C1" s="56"/>
      <c r="D1" s="56"/>
      <c r="E1" s="56"/>
    </row>
    <row r="2" spans="1:21" ht="18.75">
      <c r="A2" s="57" t="s">
        <v>1</v>
      </c>
      <c r="B2" s="57"/>
      <c r="C2" s="57"/>
      <c r="D2" s="57"/>
      <c r="E2" s="57"/>
    </row>
    <row r="3" spans="1:21" ht="18.75" customHeight="1">
      <c r="A3" s="58" t="s">
        <v>273</v>
      </c>
      <c r="B3" s="57"/>
      <c r="C3" s="57"/>
      <c r="D3" s="57"/>
      <c r="E3" s="57"/>
    </row>
    <row r="4" spans="1:21" ht="16.5" thickBot="1">
      <c r="A4" s="59"/>
      <c r="B4" s="59"/>
      <c r="C4" s="59"/>
      <c r="D4" s="59"/>
      <c r="E4" s="59"/>
    </row>
    <row r="5" spans="1:21" ht="15.75">
      <c r="A5" s="2" t="s">
        <v>3</v>
      </c>
      <c r="B5" s="60" t="s">
        <v>54</v>
      </c>
      <c r="C5" s="60" t="s">
        <v>55</v>
      </c>
      <c r="D5" s="60" t="s">
        <v>42</v>
      </c>
    </row>
    <row r="6" spans="1:21" ht="16.5" thickBot="1">
      <c r="A6" s="4" t="s">
        <v>4</v>
      </c>
      <c r="B6" s="61"/>
      <c r="C6" s="61"/>
      <c r="D6" s="61"/>
    </row>
    <row r="7" spans="1:21" ht="13.5" customHeight="1">
      <c r="A7" s="39" t="s">
        <v>5</v>
      </c>
      <c r="B7" s="44" t="s">
        <v>6</v>
      </c>
      <c r="C7" s="44" t="s">
        <v>83</v>
      </c>
      <c r="D7" s="44">
        <f>IF(IFERROR(SEARCH("подразделения ≥ 4,5", C7), 0) &gt; 0, 5, IF(IFERROR(SEARCH("подразделения ≥ 4,0", C7), 0) &gt; 0, 3, IF(IFERROR(SEARCH("&lt;", C7), 0) &gt; 0, 0,)))</f>
        <v>3</v>
      </c>
      <c r="F7">
        <v>5</v>
      </c>
      <c r="G7" s="16" t="s">
        <v>82</v>
      </c>
      <c r="N7" s="15"/>
      <c r="U7" s="15"/>
    </row>
    <row r="8" spans="1:21" ht="20.25" customHeight="1">
      <c r="A8" s="51"/>
      <c r="B8" s="54"/>
      <c r="C8" s="52"/>
      <c r="D8" s="52"/>
      <c r="F8">
        <v>3</v>
      </c>
      <c r="G8" s="17" t="s">
        <v>83</v>
      </c>
      <c r="N8" s="13"/>
      <c r="U8" s="13"/>
    </row>
    <row r="9" spans="1:21" ht="18" customHeight="1" thickBot="1">
      <c r="A9" s="40"/>
      <c r="B9" s="55"/>
      <c r="C9" s="45"/>
      <c r="D9" s="45"/>
      <c r="F9">
        <v>0</v>
      </c>
      <c r="G9" s="18" t="s">
        <v>84</v>
      </c>
    </row>
    <row r="10" spans="1:21">
      <c r="A10" s="39" t="s">
        <v>7</v>
      </c>
      <c r="B10" s="44" t="s">
        <v>8</v>
      </c>
      <c r="C10" s="44" t="s">
        <v>86</v>
      </c>
      <c r="D10" s="44">
        <f>IF(IFERROR(SEARCH("отсутствуют", C10), 0) &gt; 0, 10, IF(IFERROR(SEARCH("имеются", C10), 0) &gt; 0, 0, ))</f>
        <v>0</v>
      </c>
      <c r="F10">
        <v>10</v>
      </c>
      <c r="G10" t="s">
        <v>85</v>
      </c>
    </row>
    <row r="11" spans="1:21" ht="24.75" customHeight="1" thickBot="1">
      <c r="A11" s="40"/>
      <c r="B11" s="45"/>
      <c r="C11" s="45"/>
      <c r="D11" s="45"/>
      <c r="F11">
        <v>0</v>
      </c>
      <c r="G11" s="13" t="s">
        <v>86</v>
      </c>
    </row>
    <row r="12" spans="1:21" ht="18" customHeight="1" thickBot="1">
      <c r="A12" s="39" t="s">
        <v>9</v>
      </c>
      <c r="B12" s="44" t="s">
        <v>10</v>
      </c>
      <c r="C12" s="44" t="s">
        <v>87</v>
      </c>
      <c r="D12" s="44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>5</v>
      </c>
      <c r="F12">
        <v>5</v>
      </c>
      <c r="G12" s="14" t="s">
        <v>87</v>
      </c>
    </row>
    <row r="13" spans="1:21" ht="15.75">
      <c r="A13" s="51"/>
      <c r="B13" s="52"/>
      <c r="C13" s="52"/>
      <c r="D13" s="52"/>
      <c r="F13">
        <v>3</v>
      </c>
      <c r="G13" s="13" t="s">
        <v>88</v>
      </c>
    </row>
    <row r="14" spans="1:21" ht="16.5" thickBot="1">
      <c r="A14" s="40"/>
      <c r="B14" s="45"/>
      <c r="C14" s="45"/>
      <c r="D14" s="45"/>
      <c r="F14">
        <v>0</v>
      </c>
      <c r="G14" s="13" t="s">
        <v>89</v>
      </c>
    </row>
    <row r="15" spans="1:21" ht="15.75">
      <c r="A15" s="39" t="s">
        <v>11</v>
      </c>
      <c r="B15" s="44" t="s">
        <v>12</v>
      </c>
      <c r="C15" s="41" t="s">
        <v>90</v>
      </c>
      <c r="D15" s="44">
        <f>IF(IFERROR(SEARCH("Отсутствуют", C15), 0) &gt; 0, 5, IF(IFERROR(SEARCH("Наличие одного", C15), 0) &gt; 0, 3, IF(IFERROR(SEARCH("Наличие двух", C15), 0) &gt; 0, 0,)))</f>
        <v>5</v>
      </c>
      <c r="F15">
        <v>5</v>
      </c>
      <c r="G15" s="19" t="s">
        <v>90</v>
      </c>
    </row>
    <row r="16" spans="1:21" ht="15.75">
      <c r="A16" s="51"/>
      <c r="B16" s="52"/>
      <c r="C16" s="53"/>
      <c r="D16" s="52"/>
      <c r="F16">
        <v>3</v>
      </c>
      <c r="G16" s="13" t="s">
        <v>91</v>
      </c>
    </row>
    <row r="17" spans="1:7" ht="92.25" customHeight="1" thickBot="1">
      <c r="A17" s="40"/>
      <c r="B17" s="45"/>
      <c r="C17" s="43"/>
      <c r="D17" s="45"/>
      <c r="F17">
        <v>0</v>
      </c>
      <c r="G17" s="13" t="s">
        <v>92</v>
      </c>
    </row>
    <row r="18" spans="1:7" ht="15" customHeight="1" thickBot="1">
      <c r="A18" s="39" t="s">
        <v>13</v>
      </c>
      <c r="B18" s="44" t="s">
        <v>14</v>
      </c>
      <c r="C18" s="41" t="s">
        <v>93</v>
      </c>
      <c r="D18" s="44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>10</v>
      </c>
      <c r="F18">
        <v>10</v>
      </c>
      <c r="G18" s="13" t="s">
        <v>93</v>
      </c>
    </row>
    <row r="19" spans="1:7" ht="15" customHeight="1" thickBot="1">
      <c r="A19" s="51"/>
      <c r="B19" s="52"/>
      <c r="C19" s="53"/>
      <c r="D19" s="52"/>
      <c r="F19">
        <v>2</v>
      </c>
      <c r="G19" s="14" t="s">
        <v>94</v>
      </c>
    </row>
    <row r="20" spans="1:7" ht="57" customHeight="1" thickBot="1">
      <c r="A20" s="40"/>
      <c r="B20" s="45"/>
      <c r="C20" s="43"/>
      <c r="D20" s="45"/>
      <c r="F20">
        <v>0</v>
      </c>
      <c r="G20" s="13" t="s">
        <v>95</v>
      </c>
    </row>
    <row r="21" spans="1:7" ht="15.75">
      <c r="A21" s="39" t="s">
        <v>15</v>
      </c>
      <c r="B21" s="44" t="s">
        <v>16</v>
      </c>
      <c r="C21" s="41" t="s">
        <v>96</v>
      </c>
      <c r="D21" s="44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>5</v>
      </c>
      <c r="F21">
        <v>5</v>
      </c>
      <c r="G21" s="13" t="s">
        <v>96</v>
      </c>
    </row>
    <row r="22" spans="1:7" ht="42.75" customHeight="1" thickBot="1">
      <c r="A22" s="40"/>
      <c r="B22" s="45"/>
      <c r="C22" s="43"/>
      <c r="D22" s="45"/>
      <c r="F22">
        <v>0</v>
      </c>
      <c r="G22" s="13" t="s">
        <v>97</v>
      </c>
    </row>
    <row r="23" spans="1:7" ht="15.75">
      <c r="A23" s="39" t="s">
        <v>17</v>
      </c>
      <c r="B23" s="44" t="s">
        <v>18</v>
      </c>
      <c r="C23" s="41" t="s">
        <v>19</v>
      </c>
      <c r="D23" s="44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>10</v>
      </c>
      <c r="F23">
        <v>10</v>
      </c>
      <c r="G23" s="13" t="s">
        <v>19</v>
      </c>
    </row>
    <row r="24" spans="1:7" ht="15.75">
      <c r="A24" s="51"/>
      <c r="B24" s="52"/>
      <c r="C24" s="53"/>
      <c r="D24" s="52"/>
      <c r="F24">
        <v>5</v>
      </c>
      <c r="G24" s="13" t="s">
        <v>98</v>
      </c>
    </row>
    <row r="25" spans="1:7" ht="82.5" customHeight="1" thickBot="1">
      <c r="A25" s="40"/>
      <c r="B25" s="45"/>
      <c r="C25" s="43"/>
      <c r="D25" s="45"/>
      <c r="F25">
        <v>0</v>
      </c>
      <c r="G25" s="13" t="s">
        <v>99</v>
      </c>
    </row>
    <row r="26" spans="1:7" ht="15.75">
      <c r="A26" s="39" t="s">
        <v>20</v>
      </c>
      <c r="B26" s="44" t="s">
        <v>21</v>
      </c>
      <c r="C26" s="41" t="s">
        <v>22</v>
      </c>
      <c r="D26" s="44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>3</v>
      </c>
      <c r="F26">
        <v>3</v>
      </c>
      <c r="G26" s="13" t="s">
        <v>22</v>
      </c>
    </row>
    <row r="27" spans="1:7" ht="41.25" customHeight="1" thickBot="1">
      <c r="A27" s="40"/>
      <c r="B27" s="45"/>
      <c r="C27" s="43"/>
      <c r="D27" s="45"/>
      <c r="F27">
        <v>0</v>
      </c>
      <c r="G27" s="13" t="s">
        <v>100</v>
      </c>
    </row>
    <row r="28" spans="1:7" ht="15.75">
      <c r="A28" s="39" t="s">
        <v>23</v>
      </c>
      <c r="B28" s="44" t="s">
        <v>24</v>
      </c>
      <c r="C28" s="41" t="s">
        <v>102</v>
      </c>
      <c r="D28" s="44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>3</v>
      </c>
      <c r="F28">
        <v>5</v>
      </c>
      <c r="G28" s="13" t="s">
        <v>101</v>
      </c>
    </row>
    <row r="29" spans="1:7" ht="15.75">
      <c r="A29" s="51"/>
      <c r="B29" s="52"/>
      <c r="C29" s="53"/>
      <c r="D29" s="52"/>
      <c r="F29">
        <v>3</v>
      </c>
      <c r="G29" s="13" t="s">
        <v>102</v>
      </c>
    </row>
    <row r="30" spans="1:7" ht="61.5" customHeight="1" thickBot="1">
      <c r="A30" s="40"/>
      <c r="B30" s="45"/>
      <c r="C30" s="43"/>
      <c r="D30" s="45"/>
      <c r="F30">
        <v>0</v>
      </c>
      <c r="G30" s="13" t="s">
        <v>103</v>
      </c>
    </row>
    <row r="31" spans="1:7" ht="15.75">
      <c r="A31" s="39" t="s">
        <v>25</v>
      </c>
      <c r="B31" s="44" t="s">
        <v>26</v>
      </c>
      <c r="C31" s="41" t="s">
        <v>104</v>
      </c>
      <c r="D31" s="44">
        <f>IF(IFERROR(SEARCH("Отсутствуют нарушения ТБ", C31), 0) &gt; 0, 10, IF(IFERROR(SEARCH("Имелись нарушения ТБ", C31), 0) &gt; 0, 0, ))</f>
        <v>10</v>
      </c>
      <c r="F31">
        <v>10</v>
      </c>
      <c r="G31" s="13" t="s">
        <v>104</v>
      </c>
    </row>
    <row r="32" spans="1:7" ht="33.75" customHeight="1" thickBot="1">
      <c r="A32" s="40"/>
      <c r="B32" s="45"/>
      <c r="C32" s="43"/>
      <c r="D32" s="45"/>
      <c r="F32">
        <v>0</v>
      </c>
      <c r="G32" s="13" t="s">
        <v>105</v>
      </c>
    </row>
    <row r="33" spans="1:7" ht="15.75">
      <c r="A33" s="39" t="s">
        <v>27</v>
      </c>
      <c r="B33" s="44" t="s">
        <v>28</v>
      </c>
      <c r="C33" s="41" t="s">
        <v>52</v>
      </c>
      <c r="D33" s="44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>10</v>
      </c>
      <c r="F33">
        <v>10</v>
      </c>
      <c r="G33" s="13" t="s">
        <v>52</v>
      </c>
    </row>
    <row r="34" spans="1:7" ht="15.75">
      <c r="A34" s="51"/>
      <c r="B34" s="52"/>
      <c r="C34" s="53"/>
      <c r="D34" s="52"/>
      <c r="F34">
        <v>5</v>
      </c>
      <c r="G34" s="13" t="s">
        <v>106</v>
      </c>
    </row>
    <row r="35" spans="1:7" ht="18" customHeight="1" thickBot="1">
      <c r="A35" s="40"/>
      <c r="B35" s="45"/>
      <c r="C35" s="43"/>
      <c r="D35" s="45"/>
      <c r="F35">
        <v>0</v>
      </c>
      <c r="G35" s="13" t="s">
        <v>107</v>
      </c>
    </row>
    <row r="36" spans="1:7" ht="15.75">
      <c r="A36" s="39" t="s">
        <v>29</v>
      </c>
      <c r="B36" s="44" t="s">
        <v>30</v>
      </c>
      <c r="C36" s="41" t="s">
        <v>31</v>
      </c>
      <c r="D36" s="44">
        <f>IF(IFERROR(SEARCH("Материальные средства ", C36), 0) &gt; 0, 5, IF(IFERROR(SEARCH("Не выполнены ", C36), 0) &gt; 0, 0, ))</f>
        <v>5</v>
      </c>
      <c r="F36">
        <v>5</v>
      </c>
      <c r="G36" s="13" t="s">
        <v>31</v>
      </c>
    </row>
    <row r="37" spans="1:7" ht="45" customHeight="1" thickBot="1">
      <c r="A37" s="40"/>
      <c r="B37" s="45"/>
      <c r="C37" s="43"/>
      <c r="D37" s="45"/>
      <c r="F37">
        <v>0</v>
      </c>
      <c r="G37" s="13" t="s">
        <v>110</v>
      </c>
    </row>
    <row r="38" spans="1:7" ht="15.75">
      <c r="A38" s="39" t="s">
        <v>32</v>
      </c>
      <c r="B38" s="44" t="s">
        <v>33</v>
      </c>
      <c r="C38" s="41" t="s">
        <v>108</v>
      </c>
      <c r="D38" s="44">
        <f>IF(IFERROR(SEARCH("5", C38), 0) &gt; 0, 2, IF(IFERROR(SEARCH("4", C38), 0) &gt; 0, 1, ))</f>
        <v>2</v>
      </c>
      <c r="F38">
        <v>2</v>
      </c>
      <c r="G38" s="13" t="s">
        <v>108</v>
      </c>
    </row>
    <row r="39" spans="1:7" ht="103.5" customHeight="1" thickBot="1">
      <c r="A39" s="40"/>
      <c r="B39" s="45"/>
      <c r="C39" s="43"/>
      <c r="D39" s="45"/>
      <c r="F39">
        <v>1</v>
      </c>
      <c r="G39" s="13" t="s">
        <v>109</v>
      </c>
    </row>
    <row r="40" spans="1:7">
      <c r="A40" s="46" t="s">
        <v>34</v>
      </c>
      <c r="B40" s="47"/>
      <c r="C40" s="66"/>
      <c r="D40" s="68">
        <f>SUM(D7:D39)</f>
        <v>71</v>
      </c>
      <c r="E40" s="65"/>
    </row>
    <row r="41" spans="1:7" ht="15.75" thickBot="1">
      <c r="A41" s="48"/>
      <c r="B41" s="49"/>
      <c r="C41" s="67"/>
      <c r="D41" s="69"/>
      <c r="E41" s="65"/>
    </row>
    <row r="43" spans="1:7" ht="20.25">
      <c r="A43" s="37" t="s">
        <v>35</v>
      </c>
      <c r="B43" s="37"/>
      <c r="C43" s="37"/>
      <c r="D43" s="5"/>
      <c r="E43" s="5"/>
    </row>
    <row r="44" spans="1:7" ht="20.25">
      <c r="A44" s="37"/>
      <c r="B44" s="37"/>
      <c r="C44" s="37"/>
      <c r="D44" s="6"/>
      <c r="E44" s="6"/>
    </row>
    <row r="45" spans="1:7" ht="20.25">
      <c r="A45" s="5"/>
      <c r="B45" s="5"/>
      <c r="C45" s="5" t="s">
        <v>36</v>
      </c>
      <c r="D45" s="5"/>
      <c r="E45" s="5"/>
    </row>
    <row r="46" spans="1:7" ht="20.25">
      <c r="A46" s="5"/>
      <c r="B46" s="5"/>
      <c r="C46" s="7" t="s">
        <v>37</v>
      </c>
    </row>
  </sheetData>
  <mergeCells count="63">
    <mergeCell ref="A1:E1"/>
    <mergeCell ref="A2:E2"/>
    <mergeCell ref="A3:E3"/>
    <mergeCell ref="A4:E4"/>
    <mergeCell ref="B5:B6"/>
    <mergeCell ref="C5:C6"/>
    <mergeCell ref="D5:D6"/>
    <mergeCell ref="A7:A9"/>
    <mergeCell ref="B7:B9"/>
    <mergeCell ref="C7:C9"/>
    <mergeCell ref="D7:D9"/>
    <mergeCell ref="A10:A11"/>
    <mergeCell ref="B10:B11"/>
    <mergeCell ref="C10:C11"/>
    <mergeCell ref="D10:D11"/>
    <mergeCell ref="A12:A14"/>
    <mergeCell ref="B12:B14"/>
    <mergeCell ref="C12:C14"/>
    <mergeCell ref="D12:D14"/>
    <mergeCell ref="A15:A17"/>
    <mergeCell ref="B15:B17"/>
    <mergeCell ref="C15:C17"/>
    <mergeCell ref="D15:D17"/>
    <mergeCell ref="A18:A20"/>
    <mergeCell ref="B18:B20"/>
    <mergeCell ref="C18:C20"/>
    <mergeCell ref="D18:D20"/>
    <mergeCell ref="A21:A22"/>
    <mergeCell ref="B21:B22"/>
    <mergeCell ref="C21:C22"/>
    <mergeCell ref="D21:D22"/>
    <mergeCell ref="A23:A25"/>
    <mergeCell ref="B23:B25"/>
    <mergeCell ref="C23:C25"/>
    <mergeCell ref="D23:D25"/>
    <mergeCell ref="A26:A27"/>
    <mergeCell ref="B26:B27"/>
    <mergeCell ref="C26:C27"/>
    <mergeCell ref="D26:D27"/>
    <mergeCell ref="A28:A30"/>
    <mergeCell ref="B28:B30"/>
    <mergeCell ref="C28:C30"/>
    <mergeCell ref="D28:D30"/>
    <mergeCell ref="A31:A32"/>
    <mergeCell ref="B31:B32"/>
    <mergeCell ref="C31:C32"/>
    <mergeCell ref="D31:D32"/>
    <mergeCell ref="A33:A35"/>
    <mergeCell ref="B33:B35"/>
    <mergeCell ref="C33:C35"/>
    <mergeCell ref="D33:D35"/>
    <mergeCell ref="A36:A37"/>
    <mergeCell ref="B36:B37"/>
    <mergeCell ref="C36:C37"/>
    <mergeCell ref="D36:D37"/>
    <mergeCell ref="E40:E41"/>
    <mergeCell ref="A43:C44"/>
    <mergeCell ref="A38:A39"/>
    <mergeCell ref="B38:B39"/>
    <mergeCell ref="C38:C39"/>
    <mergeCell ref="D38:D39"/>
    <mergeCell ref="A40:C41"/>
    <mergeCell ref="D40:D41"/>
  </mergeCells>
  <dataValidations count="13">
    <dataValidation type="list" allowBlank="1" showInputMessage="1" showErrorMessage="1" sqref="C7:C9">
      <formula1>$G$7:$G$9</formula1>
    </dataValidation>
    <dataValidation type="list" allowBlank="1" showInputMessage="1" showErrorMessage="1" sqref="C10:C11">
      <formula1>$G$10:$G$11</formula1>
    </dataValidation>
    <dataValidation type="list" allowBlank="1" showInputMessage="1" showErrorMessage="1" sqref="C12:C14">
      <formula1>$G$12:$G$14</formula1>
    </dataValidation>
    <dataValidation type="list" allowBlank="1" showInputMessage="1" showErrorMessage="1" sqref="C15:C17">
      <formula1>$G$15:$G$17</formula1>
    </dataValidation>
    <dataValidation type="list" allowBlank="1" showInputMessage="1" showErrorMessage="1" sqref="C18:C20">
      <formula1>$G$18:$G$20</formula1>
    </dataValidation>
    <dataValidation type="list" allowBlank="1" showInputMessage="1" showErrorMessage="1" sqref="C21:C22">
      <formula1>$G$21:$G$22</formula1>
    </dataValidation>
    <dataValidation type="list" allowBlank="1" showInputMessage="1" showErrorMessage="1" sqref="C23:C25">
      <formula1>$G$23:$G$25</formula1>
    </dataValidation>
    <dataValidation type="list" allowBlank="1" showInputMessage="1" showErrorMessage="1" sqref="C26:C27">
      <formula1>$G$26:$G$27</formula1>
    </dataValidation>
    <dataValidation type="list" allowBlank="1" showInputMessage="1" showErrorMessage="1" sqref="C28:C30">
      <formula1>$G$28:$G$30</formula1>
    </dataValidation>
    <dataValidation type="list" allowBlank="1" showInputMessage="1" showErrorMessage="1" sqref="C31:C32">
      <formula1>$G$31:$G$32</formula1>
    </dataValidation>
    <dataValidation type="list" allowBlank="1" showInputMessage="1" showErrorMessage="1" sqref="C33:C35">
      <formula1>$G$33:$G$35</formula1>
    </dataValidation>
    <dataValidation type="list" allowBlank="1" showInputMessage="1" showErrorMessage="1" sqref="C36:C37">
      <formula1>$G$36:$G$37</formula1>
    </dataValidation>
    <dataValidation type="list" allowBlank="1" showInputMessage="1" showErrorMessage="1" sqref="C38:C39">
      <formula1>$G$38:$G$39</formula1>
    </dataValidation>
  </dataValidation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sheetPr>
    <tabColor rgb="FFFF0000"/>
  </sheetPr>
  <dimension ref="A1:U46"/>
  <sheetViews>
    <sheetView zoomScale="115" zoomScaleNormal="115" workbookViewId="0">
      <selection activeCell="C12" sqref="C12:C14"/>
    </sheetView>
  </sheetViews>
  <sheetFormatPr defaultRowHeight="15"/>
  <cols>
    <col min="2" max="2" width="26" customWidth="1"/>
    <col min="3" max="3" width="58.5703125" customWidth="1"/>
    <col min="4" max="4" width="28.42578125" customWidth="1"/>
    <col min="5" max="5" width="24.140625" hidden="1" customWidth="1"/>
    <col min="6" max="6" width="24" hidden="1" customWidth="1"/>
    <col min="7" max="7" width="19.42578125" hidden="1" customWidth="1"/>
    <col min="8" max="8" width="18.42578125" customWidth="1"/>
  </cols>
  <sheetData>
    <row r="1" spans="1:21" ht="20.25">
      <c r="A1" s="56" t="s">
        <v>0</v>
      </c>
      <c r="B1" s="56"/>
      <c r="C1" s="56"/>
      <c r="D1" s="56"/>
      <c r="E1" s="56"/>
    </row>
    <row r="2" spans="1:21" ht="18.75">
      <c r="A2" s="57" t="s">
        <v>1</v>
      </c>
      <c r="B2" s="57"/>
      <c r="C2" s="57"/>
      <c r="D2" s="57"/>
      <c r="E2" s="57"/>
    </row>
    <row r="3" spans="1:21" ht="18.75" customHeight="1">
      <c r="A3" s="58" t="s">
        <v>272</v>
      </c>
      <c r="B3" s="57"/>
      <c r="C3" s="57"/>
      <c r="D3" s="57"/>
      <c r="E3" s="57"/>
    </row>
    <row r="4" spans="1:21" ht="16.5" thickBot="1">
      <c r="A4" s="59"/>
      <c r="B4" s="59"/>
      <c r="C4" s="59"/>
      <c r="D4" s="59"/>
      <c r="E4" s="59"/>
    </row>
    <row r="5" spans="1:21" ht="15.75">
      <c r="A5" s="2" t="s">
        <v>3</v>
      </c>
      <c r="B5" s="60" t="s">
        <v>54</v>
      </c>
      <c r="C5" s="60" t="s">
        <v>55</v>
      </c>
      <c r="D5" s="60" t="s">
        <v>42</v>
      </c>
    </row>
    <row r="6" spans="1:21" ht="16.5" thickBot="1">
      <c r="A6" s="4" t="s">
        <v>4</v>
      </c>
      <c r="B6" s="61"/>
      <c r="C6" s="61"/>
      <c r="D6" s="61"/>
    </row>
    <row r="7" spans="1:21" ht="13.5" customHeight="1">
      <c r="A7" s="39" t="s">
        <v>5</v>
      </c>
      <c r="B7" s="44" t="s">
        <v>6</v>
      </c>
      <c r="C7" s="44" t="s">
        <v>83</v>
      </c>
      <c r="D7" s="44">
        <f>IF(IFERROR(SEARCH("подразделения ≥ 4,5", C7), 0) &gt; 0, 5, IF(IFERROR(SEARCH("подразделения ≥ 4,0", C7), 0) &gt; 0, 3, IF(IFERROR(SEARCH("&lt;", C7), 0) &gt; 0, 0,)))</f>
        <v>3</v>
      </c>
      <c r="F7">
        <v>5</v>
      </c>
      <c r="G7" s="16" t="s">
        <v>82</v>
      </c>
      <c r="N7" s="15"/>
      <c r="U7" s="15"/>
    </row>
    <row r="8" spans="1:21" ht="20.25" customHeight="1">
      <c r="A8" s="51"/>
      <c r="B8" s="54"/>
      <c r="C8" s="52"/>
      <c r="D8" s="52"/>
      <c r="F8">
        <v>3</v>
      </c>
      <c r="G8" s="17" t="s">
        <v>83</v>
      </c>
      <c r="N8" s="13"/>
      <c r="U8" s="13"/>
    </row>
    <row r="9" spans="1:21" ht="18" customHeight="1" thickBot="1">
      <c r="A9" s="40"/>
      <c r="B9" s="55"/>
      <c r="C9" s="45"/>
      <c r="D9" s="45"/>
      <c r="F9">
        <v>0</v>
      </c>
      <c r="G9" s="18" t="s">
        <v>84</v>
      </c>
    </row>
    <row r="10" spans="1:21">
      <c r="A10" s="39" t="s">
        <v>7</v>
      </c>
      <c r="B10" s="44" t="s">
        <v>8</v>
      </c>
      <c r="C10" s="44" t="s">
        <v>85</v>
      </c>
      <c r="D10" s="44">
        <f>IF(IFERROR(SEARCH("отсутствуют", C10), 0) &gt; 0, 10, IF(IFERROR(SEARCH("имеются", C10), 0) &gt; 0, 0, ))</f>
        <v>10</v>
      </c>
      <c r="F10">
        <v>10</v>
      </c>
      <c r="G10" t="s">
        <v>85</v>
      </c>
    </row>
    <row r="11" spans="1:21" ht="24.75" customHeight="1" thickBot="1">
      <c r="A11" s="40"/>
      <c r="B11" s="45"/>
      <c r="C11" s="45"/>
      <c r="D11" s="45"/>
      <c r="F11">
        <v>0</v>
      </c>
      <c r="G11" s="13" t="s">
        <v>86</v>
      </c>
    </row>
    <row r="12" spans="1:21" ht="18" customHeight="1" thickBot="1">
      <c r="A12" s="39" t="s">
        <v>9</v>
      </c>
      <c r="B12" s="44" t="s">
        <v>10</v>
      </c>
      <c r="C12" s="44" t="s">
        <v>88</v>
      </c>
      <c r="D12" s="44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>3</v>
      </c>
      <c r="F12">
        <v>5</v>
      </c>
      <c r="G12" s="14" t="s">
        <v>87</v>
      </c>
    </row>
    <row r="13" spans="1:21" ht="15.75">
      <c r="A13" s="51"/>
      <c r="B13" s="52"/>
      <c r="C13" s="52"/>
      <c r="D13" s="52"/>
      <c r="F13">
        <v>3</v>
      </c>
      <c r="G13" s="13" t="s">
        <v>88</v>
      </c>
    </row>
    <row r="14" spans="1:21" ht="16.5" thickBot="1">
      <c r="A14" s="40"/>
      <c r="B14" s="45"/>
      <c r="C14" s="45"/>
      <c r="D14" s="45"/>
      <c r="F14">
        <v>0</v>
      </c>
      <c r="G14" s="13" t="s">
        <v>89</v>
      </c>
    </row>
    <row r="15" spans="1:21" ht="15.75">
      <c r="A15" s="39" t="s">
        <v>11</v>
      </c>
      <c r="B15" s="44" t="s">
        <v>12</v>
      </c>
      <c r="C15" s="41" t="s">
        <v>91</v>
      </c>
      <c r="D15" s="44">
        <f>IF(IFERROR(SEARCH("Отсутствуют", C15), 0) &gt; 0, 5, IF(IFERROR(SEARCH("Наличие одного", C15), 0) &gt; 0, 3, IF(IFERROR(SEARCH("Наличие двух", C15), 0) &gt; 0, 0,)))</f>
        <v>3</v>
      </c>
      <c r="F15">
        <v>5</v>
      </c>
      <c r="G15" s="19" t="s">
        <v>90</v>
      </c>
    </row>
    <row r="16" spans="1:21" ht="15.75">
      <c r="A16" s="51"/>
      <c r="B16" s="52"/>
      <c r="C16" s="53"/>
      <c r="D16" s="52"/>
      <c r="F16">
        <v>3</v>
      </c>
      <c r="G16" s="13" t="s">
        <v>91</v>
      </c>
    </row>
    <row r="17" spans="1:7" ht="92.25" customHeight="1" thickBot="1">
      <c r="A17" s="40"/>
      <c r="B17" s="45"/>
      <c r="C17" s="43"/>
      <c r="D17" s="45"/>
      <c r="F17">
        <v>0</v>
      </c>
      <c r="G17" s="13" t="s">
        <v>92</v>
      </c>
    </row>
    <row r="18" spans="1:7" ht="15" customHeight="1" thickBot="1">
      <c r="A18" s="39" t="s">
        <v>13</v>
      </c>
      <c r="B18" s="44" t="s">
        <v>14</v>
      </c>
      <c r="C18" s="41" t="s">
        <v>93</v>
      </c>
      <c r="D18" s="44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>10</v>
      </c>
      <c r="F18">
        <v>10</v>
      </c>
      <c r="G18" s="13" t="s">
        <v>93</v>
      </c>
    </row>
    <row r="19" spans="1:7" ht="15" customHeight="1" thickBot="1">
      <c r="A19" s="51"/>
      <c r="B19" s="52"/>
      <c r="C19" s="53"/>
      <c r="D19" s="52"/>
      <c r="F19">
        <v>2</v>
      </c>
      <c r="G19" s="14" t="s">
        <v>94</v>
      </c>
    </row>
    <row r="20" spans="1:7" ht="57" customHeight="1" thickBot="1">
      <c r="A20" s="40"/>
      <c r="B20" s="45"/>
      <c r="C20" s="43"/>
      <c r="D20" s="45"/>
      <c r="F20">
        <v>0</v>
      </c>
      <c r="G20" s="13" t="s">
        <v>95</v>
      </c>
    </row>
    <row r="21" spans="1:7" ht="15.75">
      <c r="A21" s="39" t="s">
        <v>15</v>
      </c>
      <c r="B21" s="44" t="s">
        <v>16</v>
      </c>
      <c r="C21" s="41" t="s">
        <v>96</v>
      </c>
      <c r="D21" s="44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>5</v>
      </c>
      <c r="F21">
        <v>5</v>
      </c>
      <c r="G21" s="13" t="s">
        <v>96</v>
      </c>
    </row>
    <row r="22" spans="1:7" ht="42.75" customHeight="1" thickBot="1">
      <c r="A22" s="40"/>
      <c r="B22" s="45"/>
      <c r="C22" s="43"/>
      <c r="D22" s="45"/>
      <c r="F22">
        <v>0</v>
      </c>
      <c r="G22" s="13" t="s">
        <v>97</v>
      </c>
    </row>
    <row r="23" spans="1:7" ht="15.75">
      <c r="A23" s="39" t="s">
        <v>17</v>
      </c>
      <c r="B23" s="44" t="s">
        <v>18</v>
      </c>
      <c r="C23" s="41" t="s">
        <v>19</v>
      </c>
      <c r="D23" s="44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>10</v>
      </c>
      <c r="F23">
        <v>10</v>
      </c>
      <c r="G23" s="13" t="s">
        <v>19</v>
      </c>
    </row>
    <row r="24" spans="1:7" ht="15.75">
      <c r="A24" s="51"/>
      <c r="B24" s="52"/>
      <c r="C24" s="53"/>
      <c r="D24" s="52"/>
      <c r="F24">
        <v>5</v>
      </c>
      <c r="G24" s="13" t="s">
        <v>98</v>
      </c>
    </row>
    <row r="25" spans="1:7" ht="82.5" customHeight="1" thickBot="1">
      <c r="A25" s="40"/>
      <c r="B25" s="45"/>
      <c r="C25" s="43"/>
      <c r="D25" s="45"/>
      <c r="F25">
        <v>0</v>
      </c>
      <c r="G25" s="13" t="s">
        <v>99</v>
      </c>
    </row>
    <row r="26" spans="1:7" ht="15.75">
      <c r="A26" s="39" t="s">
        <v>20</v>
      </c>
      <c r="B26" s="44" t="s">
        <v>21</v>
      </c>
      <c r="C26" s="41" t="s">
        <v>22</v>
      </c>
      <c r="D26" s="44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>3</v>
      </c>
      <c r="F26">
        <v>3</v>
      </c>
      <c r="G26" s="13" t="s">
        <v>22</v>
      </c>
    </row>
    <row r="27" spans="1:7" ht="41.25" customHeight="1" thickBot="1">
      <c r="A27" s="40"/>
      <c r="B27" s="45"/>
      <c r="C27" s="43"/>
      <c r="D27" s="45"/>
      <c r="F27">
        <v>0</v>
      </c>
      <c r="G27" s="13" t="s">
        <v>100</v>
      </c>
    </row>
    <row r="28" spans="1:7" ht="15.75">
      <c r="A28" s="39" t="s">
        <v>23</v>
      </c>
      <c r="B28" s="44" t="s">
        <v>24</v>
      </c>
      <c r="C28" s="41" t="s">
        <v>101</v>
      </c>
      <c r="D28" s="44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>5</v>
      </c>
      <c r="F28">
        <v>5</v>
      </c>
      <c r="G28" s="13" t="s">
        <v>101</v>
      </c>
    </row>
    <row r="29" spans="1:7" ht="15.75">
      <c r="A29" s="51"/>
      <c r="B29" s="52"/>
      <c r="C29" s="53"/>
      <c r="D29" s="52"/>
      <c r="F29">
        <v>3</v>
      </c>
      <c r="G29" s="13" t="s">
        <v>102</v>
      </c>
    </row>
    <row r="30" spans="1:7" ht="61.5" customHeight="1" thickBot="1">
      <c r="A30" s="40"/>
      <c r="B30" s="45"/>
      <c r="C30" s="43"/>
      <c r="D30" s="45"/>
      <c r="F30">
        <v>0</v>
      </c>
      <c r="G30" s="13" t="s">
        <v>103</v>
      </c>
    </row>
    <row r="31" spans="1:7" ht="15.75">
      <c r="A31" s="39" t="s">
        <v>25</v>
      </c>
      <c r="B31" s="44" t="s">
        <v>26</v>
      </c>
      <c r="C31" s="41" t="s">
        <v>104</v>
      </c>
      <c r="D31" s="44">
        <f>IF(IFERROR(SEARCH("Отсутствуют нарушения ТБ", C31), 0) &gt; 0, 10, IF(IFERROR(SEARCH("Имелись нарушения ТБ", C31), 0) &gt; 0, 0, ))</f>
        <v>10</v>
      </c>
      <c r="F31">
        <v>10</v>
      </c>
      <c r="G31" s="13" t="s">
        <v>104</v>
      </c>
    </row>
    <row r="32" spans="1:7" ht="33.75" customHeight="1" thickBot="1">
      <c r="A32" s="40"/>
      <c r="B32" s="45"/>
      <c r="C32" s="43"/>
      <c r="D32" s="45"/>
      <c r="F32">
        <v>0</v>
      </c>
      <c r="G32" s="13" t="s">
        <v>105</v>
      </c>
    </row>
    <row r="33" spans="1:7" ht="15.75">
      <c r="A33" s="39" t="s">
        <v>27</v>
      </c>
      <c r="B33" s="44" t="s">
        <v>28</v>
      </c>
      <c r="C33" s="41" t="s">
        <v>52</v>
      </c>
      <c r="D33" s="44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>10</v>
      </c>
      <c r="F33">
        <v>10</v>
      </c>
      <c r="G33" s="13" t="s">
        <v>52</v>
      </c>
    </row>
    <row r="34" spans="1:7" ht="15.75">
      <c r="A34" s="51"/>
      <c r="B34" s="52"/>
      <c r="C34" s="53"/>
      <c r="D34" s="52"/>
      <c r="F34">
        <v>5</v>
      </c>
      <c r="G34" s="13" t="s">
        <v>106</v>
      </c>
    </row>
    <row r="35" spans="1:7" ht="18" customHeight="1" thickBot="1">
      <c r="A35" s="40"/>
      <c r="B35" s="45"/>
      <c r="C35" s="43"/>
      <c r="D35" s="45"/>
      <c r="F35">
        <v>0</v>
      </c>
      <c r="G35" s="13" t="s">
        <v>107</v>
      </c>
    </row>
    <row r="36" spans="1:7" ht="15.75">
      <c r="A36" s="39" t="s">
        <v>29</v>
      </c>
      <c r="B36" s="44" t="s">
        <v>30</v>
      </c>
      <c r="C36" s="41" t="s">
        <v>31</v>
      </c>
      <c r="D36" s="44">
        <f>IF(IFERROR(SEARCH("Материальные средства ", C36), 0) &gt; 0, 5, IF(IFERROR(SEARCH("Не выполнены ", C36), 0) &gt; 0, 0, ))</f>
        <v>5</v>
      </c>
      <c r="F36">
        <v>5</v>
      </c>
      <c r="G36" s="13" t="s">
        <v>31</v>
      </c>
    </row>
    <row r="37" spans="1:7" ht="45" customHeight="1" thickBot="1">
      <c r="A37" s="40"/>
      <c r="B37" s="45"/>
      <c r="C37" s="43"/>
      <c r="D37" s="45"/>
      <c r="F37">
        <v>0</v>
      </c>
      <c r="G37" s="13" t="s">
        <v>110</v>
      </c>
    </row>
    <row r="38" spans="1:7" ht="15.75">
      <c r="A38" s="39" t="s">
        <v>32</v>
      </c>
      <c r="B38" s="44" t="s">
        <v>33</v>
      </c>
      <c r="C38" s="41" t="s">
        <v>108</v>
      </c>
      <c r="D38" s="44">
        <f>IF(IFERROR(SEARCH("5", C38), 0) &gt; 0, 2, IF(IFERROR(SEARCH("4", C38), 0) &gt; 0, 1, ))</f>
        <v>2</v>
      </c>
      <c r="F38">
        <v>2</v>
      </c>
      <c r="G38" s="13" t="s">
        <v>108</v>
      </c>
    </row>
    <row r="39" spans="1:7" ht="103.5" customHeight="1" thickBot="1">
      <c r="A39" s="40"/>
      <c r="B39" s="45"/>
      <c r="C39" s="43"/>
      <c r="D39" s="45"/>
      <c r="F39">
        <v>1</v>
      </c>
      <c r="G39" s="13" t="s">
        <v>109</v>
      </c>
    </row>
    <row r="40" spans="1:7">
      <c r="A40" s="46" t="s">
        <v>34</v>
      </c>
      <c r="B40" s="47"/>
      <c r="C40" s="66"/>
      <c r="D40" s="68">
        <f>SUM(D7:D39)</f>
        <v>79</v>
      </c>
      <c r="E40" s="65"/>
    </row>
    <row r="41" spans="1:7" ht="15.75" thickBot="1">
      <c r="A41" s="48"/>
      <c r="B41" s="49"/>
      <c r="C41" s="67"/>
      <c r="D41" s="69"/>
      <c r="E41" s="65"/>
    </row>
    <row r="43" spans="1:7" ht="20.25">
      <c r="A43" s="37" t="s">
        <v>35</v>
      </c>
      <c r="B43" s="37"/>
      <c r="C43" s="37"/>
      <c r="D43" s="5"/>
      <c r="E43" s="5"/>
    </row>
    <row r="44" spans="1:7" ht="20.25">
      <c r="A44" s="37"/>
      <c r="B44" s="37"/>
      <c r="C44" s="37"/>
      <c r="D44" s="6"/>
      <c r="E44" s="6"/>
    </row>
    <row r="45" spans="1:7" ht="20.25">
      <c r="A45" s="5"/>
      <c r="B45" s="5"/>
      <c r="C45" s="5" t="s">
        <v>36</v>
      </c>
      <c r="D45" s="5"/>
      <c r="E45" s="5"/>
    </row>
    <row r="46" spans="1:7" ht="20.25">
      <c r="A46" s="5"/>
      <c r="B46" s="5"/>
      <c r="C46" s="7" t="s">
        <v>37</v>
      </c>
    </row>
  </sheetData>
  <mergeCells count="63">
    <mergeCell ref="A1:E1"/>
    <mergeCell ref="A2:E2"/>
    <mergeCell ref="A3:E3"/>
    <mergeCell ref="A4:E4"/>
    <mergeCell ref="B5:B6"/>
    <mergeCell ref="C5:C6"/>
    <mergeCell ref="D5:D6"/>
    <mergeCell ref="A7:A9"/>
    <mergeCell ref="B7:B9"/>
    <mergeCell ref="C7:C9"/>
    <mergeCell ref="D7:D9"/>
    <mergeCell ref="A10:A11"/>
    <mergeCell ref="B10:B11"/>
    <mergeCell ref="C10:C11"/>
    <mergeCell ref="D10:D11"/>
    <mergeCell ref="A12:A14"/>
    <mergeCell ref="B12:B14"/>
    <mergeCell ref="C12:C14"/>
    <mergeCell ref="D12:D14"/>
    <mergeCell ref="A15:A17"/>
    <mergeCell ref="B15:B17"/>
    <mergeCell ref="C15:C17"/>
    <mergeCell ref="D15:D17"/>
    <mergeCell ref="A18:A20"/>
    <mergeCell ref="B18:B20"/>
    <mergeCell ref="C18:C20"/>
    <mergeCell ref="D18:D20"/>
    <mergeCell ref="A21:A22"/>
    <mergeCell ref="B21:B22"/>
    <mergeCell ref="C21:C22"/>
    <mergeCell ref="D21:D22"/>
    <mergeCell ref="A23:A25"/>
    <mergeCell ref="B23:B25"/>
    <mergeCell ref="C23:C25"/>
    <mergeCell ref="D23:D25"/>
    <mergeCell ref="A26:A27"/>
    <mergeCell ref="B26:B27"/>
    <mergeCell ref="C26:C27"/>
    <mergeCell ref="D26:D27"/>
    <mergeCell ref="A28:A30"/>
    <mergeCell ref="B28:B30"/>
    <mergeCell ref="C28:C30"/>
    <mergeCell ref="D28:D30"/>
    <mergeCell ref="A31:A32"/>
    <mergeCell ref="B31:B32"/>
    <mergeCell ref="C31:C32"/>
    <mergeCell ref="D31:D32"/>
    <mergeCell ref="A33:A35"/>
    <mergeCell ref="B33:B35"/>
    <mergeCell ref="C33:C35"/>
    <mergeCell ref="D33:D35"/>
    <mergeCell ref="A36:A37"/>
    <mergeCell ref="B36:B37"/>
    <mergeCell ref="C36:C37"/>
    <mergeCell ref="D36:D37"/>
    <mergeCell ref="E40:E41"/>
    <mergeCell ref="A43:C44"/>
    <mergeCell ref="A38:A39"/>
    <mergeCell ref="B38:B39"/>
    <mergeCell ref="C38:C39"/>
    <mergeCell ref="D38:D39"/>
    <mergeCell ref="A40:C41"/>
    <mergeCell ref="D40:D41"/>
  </mergeCells>
  <dataValidations count="13">
    <dataValidation type="list" allowBlank="1" showInputMessage="1" showErrorMessage="1" sqref="C38:C39">
      <formula1>$G$38:$G$39</formula1>
    </dataValidation>
    <dataValidation type="list" allowBlank="1" showInputMessage="1" showErrorMessage="1" sqref="C36:C37">
      <formula1>$G$36:$G$37</formula1>
    </dataValidation>
    <dataValidation type="list" allowBlank="1" showInputMessage="1" showErrorMessage="1" sqref="C33:C35">
      <formula1>$G$33:$G$35</formula1>
    </dataValidation>
    <dataValidation type="list" allowBlank="1" showInputMessage="1" showErrorMessage="1" sqref="C31:C32">
      <formula1>$G$31:$G$32</formula1>
    </dataValidation>
    <dataValidation type="list" allowBlank="1" showInputMessage="1" showErrorMessage="1" sqref="C28:C30">
      <formula1>$G$28:$G$30</formula1>
    </dataValidation>
    <dataValidation type="list" allowBlank="1" showInputMessage="1" showErrorMessage="1" sqref="C26:C27">
      <formula1>$G$26:$G$27</formula1>
    </dataValidation>
    <dataValidation type="list" allowBlank="1" showInputMessage="1" showErrorMessage="1" sqref="C23:C25">
      <formula1>$G$23:$G$25</formula1>
    </dataValidation>
    <dataValidation type="list" allowBlank="1" showInputMessage="1" showErrorMessage="1" sqref="C21:C22">
      <formula1>$G$21:$G$22</formula1>
    </dataValidation>
    <dataValidation type="list" allowBlank="1" showInputMessage="1" showErrorMessage="1" sqref="C18:C20">
      <formula1>$G$18:$G$20</formula1>
    </dataValidation>
    <dataValidation type="list" allowBlank="1" showInputMessage="1" showErrorMessage="1" sqref="C15:C17">
      <formula1>$G$15:$G$17</formula1>
    </dataValidation>
    <dataValidation type="list" allowBlank="1" showInputMessage="1" showErrorMessage="1" sqref="C12:C14">
      <formula1>$G$12:$G$14</formula1>
    </dataValidation>
    <dataValidation type="list" allowBlank="1" showInputMessage="1" showErrorMessage="1" sqref="C10:C11">
      <formula1>$G$10:$G$11</formula1>
    </dataValidation>
    <dataValidation type="list" allowBlank="1" showInputMessage="1" showErrorMessage="1" sqref="C7:C9">
      <formula1>$G$7:$G$9</formula1>
    </dataValidation>
  </dataValidation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sheetPr>
    <tabColor rgb="FFFF0000"/>
  </sheetPr>
  <dimension ref="A1:L56"/>
  <sheetViews>
    <sheetView zoomScale="70" zoomScaleNormal="70" workbookViewId="0">
      <selection activeCell="G1" sqref="G1:L1048576"/>
    </sheetView>
  </sheetViews>
  <sheetFormatPr defaultRowHeight="15"/>
  <cols>
    <col min="2" max="2" width="26" customWidth="1"/>
    <col min="3" max="3" width="58.5703125" customWidth="1"/>
    <col min="4" max="4" width="28.5703125" customWidth="1"/>
    <col min="5" max="5" width="0.140625" customWidth="1"/>
    <col min="6" max="6" width="0.42578125" customWidth="1"/>
    <col min="7" max="11" width="9.140625" hidden="1" customWidth="1"/>
    <col min="12" max="12" width="12" hidden="1" customWidth="1"/>
    <col min="13" max="13" width="9.140625" customWidth="1"/>
  </cols>
  <sheetData>
    <row r="1" spans="1:12" ht="20.25">
      <c r="A1" s="56" t="s">
        <v>0</v>
      </c>
      <c r="B1" s="56"/>
      <c r="C1" s="56"/>
      <c r="D1" s="56"/>
      <c r="E1" s="56"/>
    </row>
    <row r="2" spans="1:12" ht="18.75">
      <c r="A2" s="57" t="s">
        <v>1</v>
      </c>
      <c r="B2" s="57"/>
      <c r="C2" s="57"/>
      <c r="D2" s="57"/>
      <c r="E2" s="57"/>
    </row>
    <row r="3" spans="1:12" ht="18.75" customHeight="1">
      <c r="A3" s="58" t="s">
        <v>265</v>
      </c>
      <c r="B3" s="57"/>
      <c r="C3" s="57"/>
      <c r="D3" s="57"/>
      <c r="E3" s="57"/>
    </row>
    <row r="4" spans="1:12" ht="16.5" thickBot="1">
      <c r="A4" s="59"/>
      <c r="B4" s="59"/>
      <c r="C4" s="59"/>
      <c r="D4" s="59"/>
      <c r="E4" s="59"/>
    </row>
    <row r="5" spans="1:12" ht="15.75" customHeight="1">
      <c r="A5" s="2" t="s">
        <v>3</v>
      </c>
      <c r="B5" s="60" t="s">
        <v>54</v>
      </c>
      <c r="C5" s="60" t="s">
        <v>55</v>
      </c>
      <c r="D5" s="60" t="s">
        <v>42</v>
      </c>
    </row>
    <row r="6" spans="1:12" ht="16.5" thickBot="1">
      <c r="A6" s="4" t="s">
        <v>4</v>
      </c>
      <c r="B6" s="61"/>
      <c r="C6" s="61"/>
      <c r="D6" s="61"/>
    </row>
    <row r="7" spans="1:12" ht="15" customHeight="1">
      <c r="A7" s="39" t="s">
        <v>5</v>
      </c>
      <c r="B7" s="44" t="s">
        <v>6</v>
      </c>
      <c r="C7" s="44" t="s">
        <v>343</v>
      </c>
      <c r="D7" s="44">
        <f>IF(IFERROR(SEARCH("подразделения ≥ 4,5", C7), 0) &gt; 0, 5, IF(IFERROR(SEARCH("подразделения ≥ 4,0", C7), 0) &gt; 0, 3, IF(IFERROR(SEARCH("&lt;", C7), 0) &gt; 0, 0,)))</f>
        <v>3</v>
      </c>
      <c r="F7">
        <v>5</v>
      </c>
      <c r="G7" s="16" t="s">
        <v>344</v>
      </c>
    </row>
    <row r="8" spans="1:12" ht="15" customHeight="1">
      <c r="A8" s="51"/>
      <c r="B8" s="54"/>
      <c r="C8" s="52"/>
      <c r="D8" s="52"/>
      <c r="F8">
        <v>3</v>
      </c>
      <c r="G8" s="17" t="s">
        <v>343</v>
      </c>
    </row>
    <row r="9" spans="1:12" ht="18.75" customHeight="1" thickBot="1">
      <c r="A9" s="40"/>
      <c r="B9" s="55"/>
      <c r="C9" s="45"/>
      <c r="D9" s="45"/>
      <c r="F9">
        <v>0</v>
      </c>
      <c r="G9" s="18" t="s">
        <v>345</v>
      </c>
    </row>
    <row r="10" spans="1:12" ht="15" customHeight="1">
      <c r="A10" s="39" t="s">
        <v>7</v>
      </c>
      <c r="B10" s="44" t="s">
        <v>8</v>
      </c>
      <c r="C10" s="44" t="s">
        <v>70</v>
      </c>
      <c r="D10" s="44">
        <f>IF(C10="Академические задолжности отсутствуют",10,0)</f>
        <v>0</v>
      </c>
      <c r="F10">
        <v>10</v>
      </c>
    </row>
    <row r="11" spans="1:12" ht="15.75" customHeight="1" thickBot="1">
      <c r="A11" s="40"/>
      <c r="B11" s="45"/>
      <c r="C11" s="45"/>
      <c r="D11" s="45"/>
      <c r="F11">
        <v>0</v>
      </c>
    </row>
    <row r="12" spans="1:12" ht="15" customHeight="1">
      <c r="A12" s="39" t="s">
        <v>9</v>
      </c>
      <c r="B12" s="44" t="s">
        <v>10</v>
      </c>
      <c r="C12" s="44" t="s">
        <v>266</v>
      </c>
      <c r="D12" s="44">
        <f>IF(C12="В подразделении и у КУГ отсутствуют текущие задолжности",5,IF(C12="Имеются менее 20% текущих задолжностей в подразделении или у КУГ",3,IF(C12="Имеются более 20% текущих задолжностей в подразделении или у КУГ",0,)))</f>
        <v>5</v>
      </c>
      <c r="F12">
        <v>5</v>
      </c>
    </row>
    <row r="13" spans="1:12" ht="15" customHeight="1">
      <c r="A13" s="51"/>
      <c r="B13" s="52"/>
      <c r="C13" s="52"/>
      <c r="D13" s="52"/>
      <c r="F13">
        <v>3</v>
      </c>
    </row>
    <row r="14" spans="1:12" ht="15.75" customHeight="1" thickBot="1">
      <c r="A14" s="40"/>
      <c r="B14" s="45"/>
      <c r="C14" s="45"/>
      <c r="D14" s="45"/>
      <c r="F14">
        <v>0</v>
      </c>
    </row>
    <row r="15" spans="1:12" ht="15" customHeight="1">
      <c r="A15" s="39" t="s">
        <v>11</v>
      </c>
      <c r="B15" s="44" t="s">
        <v>39</v>
      </c>
      <c r="C15" s="64" t="s">
        <v>77</v>
      </c>
      <c r="D15" s="44">
        <f>IF(C15="Подразделение прибыло на занятие своевременно; дежурный по аудитории назначен; ЖУУЗ и классная доска оформлены; литература, конспекты, ПЭВМ (по необходимости) получены; внутренний порядок в аудитории поддерживается",5,IF(C15="Подразделение прибыло на занятие своевременно; дежурный по аудитории назначен; литература, конспекты, ПЭВМ (по необходимости) получены; ЖУУЗ или классная доска оформлены не своевременно; или имеются отклонения по  внутреннему порядку в аудитории",3,IF(C15="одразделение опоздало на занятие; или ЖУУЗ и классная доска не оформлены; литература, конспекты, ПЭВМ (по необходимости) не получены; или внутренний порядок в аудитории не поддерживается ",0,)))</f>
        <v>3</v>
      </c>
      <c r="F15">
        <v>5</v>
      </c>
      <c r="L15" s="13" t="s">
        <v>40</v>
      </c>
    </row>
    <row r="16" spans="1:12" ht="15" customHeight="1">
      <c r="A16" s="51"/>
      <c r="B16" s="52"/>
      <c r="C16" s="62"/>
      <c r="D16" s="52"/>
      <c r="F16">
        <v>3</v>
      </c>
      <c r="L16" s="13" t="s">
        <v>77</v>
      </c>
    </row>
    <row r="17" spans="1:12" ht="52.5" customHeight="1" thickBot="1">
      <c r="A17" s="40"/>
      <c r="B17" s="45"/>
      <c r="C17" s="63"/>
      <c r="D17" s="45"/>
      <c r="F17">
        <v>0</v>
      </c>
      <c r="L17" t="s">
        <v>78</v>
      </c>
    </row>
    <row r="18" spans="1:12" ht="15" customHeight="1" thickBot="1">
      <c r="A18" s="39" t="s">
        <v>13</v>
      </c>
      <c r="B18" s="44" t="s">
        <v>41</v>
      </c>
      <c r="C18" s="64" t="s">
        <v>80</v>
      </c>
      <c r="D18" s="44">
        <f>IF(IFERROR(SEARCH("30%", C18), 0) &gt; 0, 5, IF(IFERROR(SEARCH("10%", C18), 0) &gt; 0, 3, IF(IFERROR(SEARCH("не получены", C18), 0) &gt; 0, 0,)))</f>
        <v>3</v>
      </c>
      <c r="F18">
        <v>10</v>
      </c>
      <c r="L18" s="14" t="s">
        <v>79</v>
      </c>
    </row>
    <row r="19" spans="1:12" ht="15" customHeight="1">
      <c r="A19" s="51"/>
      <c r="B19" s="52"/>
      <c r="C19" s="62"/>
      <c r="D19" s="52"/>
      <c r="F19">
        <v>2</v>
      </c>
      <c r="L19" s="13" t="s">
        <v>80</v>
      </c>
    </row>
    <row r="20" spans="1:12" ht="105" customHeight="1" thickBot="1">
      <c r="A20" s="40"/>
      <c r="B20" s="45"/>
      <c r="C20" s="63"/>
      <c r="D20" s="45"/>
      <c r="F20">
        <v>0</v>
      </c>
      <c r="L20" s="13" t="s">
        <v>81</v>
      </c>
    </row>
    <row r="21" spans="1:12" ht="15" customHeight="1">
      <c r="A21" s="39" t="s">
        <v>15</v>
      </c>
      <c r="B21" s="44" t="s">
        <v>12</v>
      </c>
      <c r="C21" s="41" t="s">
        <v>73</v>
      </c>
      <c r="D21" s="44">
        <f>IF(C21="Замечания в подразделении и у КУГ отсутствуют",5,IF(C21="В подразделении 2 замечания у КУГ отсутствуют",3,IF(C21="В подразделении 3 и более замечаний или замечания у КУГ",0,)))</f>
        <v>5</v>
      </c>
      <c r="F21">
        <v>5</v>
      </c>
    </row>
    <row r="22" spans="1:12" ht="15.75" customHeight="1">
      <c r="A22" s="51"/>
      <c r="B22" s="52"/>
      <c r="C22" s="53"/>
      <c r="D22" s="52"/>
      <c r="F22">
        <v>0</v>
      </c>
    </row>
    <row r="23" spans="1:12" ht="82.5" customHeight="1" thickBot="1">
      <c r="A23" s="40"/>
      <c r="B23" s="45"/>
      <c r="C23" s="43"/>
      <c r="D23" s="45"/>
      <c r="F23">
        <v>10</v>
      </c>
    </row>
    <row r="24" spans="1:12" ht="15" customHeight="1">
      <c r="A24" s="39" t="s">
        <v>17</v>
      </c>
      <c r="B24" s="44" t="s">
        <v>14</v>
      </c>
      <c r="C24" s="41" t="s">
        <v>262</v>
      </c>
      <c r="D24" s="44">
        <f>IF(C24="ПРО, ПРЕ, ГДП в подразделении и КУГ отсутствуют",10,IF(C24="ПРО, ПРЕ отсутствуют, имеются не снятые взыскания за ГДП в подразделении, у КУГ отсутствуют",2,IF(C24="Совершено ПРО, ПРЕ, ГДП в подразделении или КУГ или допущено сокрытие",0,)))</f>
        <v>10</v>
      </c>
      <c r="F24">
        <v>5</v>
      </c>
    </row>
    <row r="25" spans="1:12" ht="15.75" customHeight="1">
      <c r="A25" s="51"/>
      <c r="B25" s="52"/>
      <c r="C25" s="53"/>
      <c r="D25" s="52"/>
      <c r="F25">
        <v>0</v>
      </c>
    </row>
    <row r="26" spans="1:12" ht="52.5" customHeight="1" thickBot="1">
      <c r="A26" s="40"/>
      <c r="B26" s="45"/>
      <c r="C26" s="43"/>
      <c r="D26" s="45"/>
      <c r="F26">
        <v>3</v>
      </c>
    </row>
    <row r="27" spans="1:12" ht="15.75" customHeight="1">
      <c r="A27" s="39" t="s">
        <v>20</v>
      </c>
      <c r="B27" s="44" t="s">
        <v>16</v>
      </c>
      <c r="C27" s="41" t="s">
        <v>57</v>
      </c>
      <c r="D27" s="44">
        <f>IF(C27="Дисциплинарная практика к подчиненному личному составу ведется",5,0)</f>
        <v>5</v>
      </c>
      <c r="F27">
        <v>0</v>
      </c>
    </row>
    <row r="28" spans="1:12" ht="15" customHeight="1" thickBot="1">
      <c r="A28" s="40"/>
      <c r="B28" s="45"/>
      <c r="C28" s="43"/>
      <c r="D28" s="45"/>
      <c r="F28">
        <v>5</v>
      </c>
    </row>
    <row r="29" spans="1:12" ht="15" customHeight="1">
      <c r="A29" s="39" t="s">
        <v>23</v>
      </c>
      <c r="B29" s="44" t="s">
        <v>18</v>
      </c>
      <c r="C29" s="41" t="s">
        <v>342</v>
      </c>
      <c r="D29" s="44">
        <f>IF(C29="Обстановкой владеет, доклады представляет, книжка сержантов актуальна",10,IF(C29="Обстановкой владеет, доклады представляет, книжка сержантов не актуальна",5,IF(C29="Обстановкой не владеет, доклады не представляет, книжка сержантов не актуальна",0,)))</f>
        <v>5</v>
      </c>
      <c r="F29">
        <v>3</v>
      </c>
    </row>
    <row r="30" spans="1:12" ht="15.75" customHeight="1">
      <c r="A30" s="51"/>
      <c r="B30" s="52"/>
      <c r="C30" s="53"/>
      <c r="D30" s="52"/>
      <c r="F30">
        <v>0</v>
      </c>
    </row>
    <row r="31" spans="1:12" ht="105" customHeight="1" thickBot="1">
      <c r="A31" s="40"/>
      <c r="B31" s="45"/>
      <c r="C31" s="43"/>
      <c r="D31" s="45"/>
      <c r="F31">
        <v>10</v>
      </c>
    </row>
    <row r="32" spans="1:12" ht="26.25" customHeight="1">
      <c r="A32" s="39" t="s">
        <v>25</v>
      </c>
      <c r="B32" s="44" t="s">
        <v>21</v>
      </c>
      <c r="C32" s="41" t="s">
        <v>75</v>
      </c>
      <c r="D32" s="44">
        <f>IF(C32="Подведение итогов актуально, поставлены конкретные задачи и проводится в установленное время",3,0)</f>
        <v>3</v>
      </c>
      <c r="F32">
        <v>0</v>
      </c>
    </row>
    <row r="33" spans="1:6" ht="30" customHeight="1" thickBot="1">
      <c r="A33" s="40"/>
      <c r="B33" s="45"/>
      <c r="C33" s="43"/>
      <c r="D33" s="45"/>
      <c r="F33">
        <v>10</v>
      </c>
    </row>
    <row r="34" spans="1:6" ht="15" customHeight="1">
      <c r="A34" s="51" t="s">
        <v>27</v>
      </c>
      <c r="B34" s="52" t="s">
        <v>43</v>
      </c>
      <c r="C34" s="41" t="s">
        <v>263</v>
      </c>
      <c r="D34" s="62">
        <f>IF(C34="Увольнения распределены равномерно",2,0)</f>
        <v>2</v>
      </c>
      <c r="F34">
        <v>5</v>
      </c>
    </row>
    <row r="35" spans="1:6" ht="15.75" customHeight="1" thickBot="1">
      <c r="A35" s="40"/>
      <c r="B35" s="45"/>
      <c r="C35" s="43"/>
      <c r="D35" s="63"/>
      <c r="F35">
        <v>0</v>
      </c>
    </row>
    <row r="36" spans="1:6" ht="15" customHeight="1">
      <c r="A36" s="39" t="s">
        <v>29</v>
      </c>
      <c r="B36" s="44" t="s">
        <v>44</v>
      </c>
      <c r="C36" s="44" t="s">
        <v>62</v>
      </c>
      <c r="D36" s="64">
        <f>IF(C36="Наряды и уборщики распределены равномерно",2,IF(C36="Наряды распределены равномерно, уборщики не равномерно",1,IF(C36="Наряды и уборщики распределены не равномерно",0,)))</f>
        <v>1</v>
      </c>
      <c r="F36">
        <v>5</v>
      </c>
    </row>
    <row r="37" spans="1:6" ht="15.75" customHeight="1">
      <c r="A37" s="51"/>
      <c r="B37" s="52"/>
      <c r="C37" s="52"/>
      <c r="D37" s="62"/>
      <c r="F37">
        <v>0</v>
      </c>
    </row>
    <row r="38" spans="1:6" ht="38.25" customHeight="1" thickBot="1">
      <c r="A38" s="40"/>
      <c r="B38" s="45"/>
      <c r="C38" s="45"/>
      <c r="D38" s="63"/>
      <c r="F38">
        <v>2</v>
      </c>
    </row>
    <row r="39" spans="1:6" ht="15.75" customHeight="1">
      <c r="A39" s="39" t="s">
        <v>32</v>
      </c>
      <c r="B39" s="44" t="s">
        <v>24</v>
      </c>
      <c r="C39" s="41" t="s">
        <v>264</v>
      </c>
      <c r="D39" s="44">
        <f>IF(C39="Замечания у подчиненного л/с отсутствуют, КУГ оценен не ниже «хорошо»",5,IF(C39="Выявлено не более 2 замечаний у подчиненного л/с, КУГ оценен не ниже «хорошо»",3,IF(C39="Л/с отстранен или выявлено более 2 замечаний, КУГ оценен ниже «хорошо»",0,)))</f>
        <v>5</v>
      </c>
      <c r="F39">
        <v>1</v>
      </c>
    </row>
    <row r="40" spans="1:6" ht="15" customHeight="1">
      <c r="A40" s="51"/>
      <c r="B40" s="52"/>
      <c r="C40" s="53"/>
      <c r="D40" s="52"/>
    </row>
    <row r="41" spans="1:6" ht="40.5" customHeight="1" thickBot="1">
      <c r="A41" s="40"/>
      <c r="B41" s="45"/>
      <c r="C41" s="43"/>
      <c r="D41" s="45"/>
    </row>
    <row r="42" spans="1:6">
      <c r="A42" s="39" t="s">
        <v>45</v>
      </c>
      <c r="B42" s="44" t="s">
        <v>26</v>
      </c>
      <c r="C42" s="41" t="s">
        <v>65</v>
      </c>
      <c r="D42" s="44">
        <f>IF(C42="Нарушений ТБ, приведших к травматизму л/с нет",10,0)</f>
        <v>10</v>
      </c>
    </row>
    <row r="43" spans="1:6" ht="44.25" customHeight="1" thickBot="1">
      <c r="A43" s="40"/>
      <c r="B43" s="45"/>
      <c r="C43" s="43"/>
      <c r="D43" s="45"/>
    </row>
    <row r="44" spans="1:6">
      <c r="A44" s="39" t="s">
        <v>46</v>
      </c>
      <c r="B44" s="44" t="s">
        <v>28</v>
      </c>
      <c r="C44" s="41" t="s">
        <v>52</v>
      </c>
      <c r="D44" s="44">
        <f>IF(C44="Элементы распорядка дня соблюдаются",10,IF(C44="Не более пяти нарушений распорядка дня, срывов мероприятий не допущено",5,IF(C44="Более пяти нарушений элементов распорядка дня или мероприятие сорвано",0,)))</f>
        <v>10</v>
      </c>
    </row>
    <row r="45" spans="1:6">
      <c r="A45" s="51"/>
      <c r="B45" s="52"/>
      <c r="C45" s="53"/>
      <c r="D45" s="52"/>
    </row>
    <row r="46" spans="1:6" ht="15.75" thickBot="1">
      <c r="A46" s="40"/>
      <c r="B46" s="45"/>
      <c r="C46" s="43"/>
      <c r="D46" s="45"/>
    </row>
    <row r="47" spans="1:6">
      <c r="A47" s="39" t="s">
        <v>47</v>
      </c>
      <c r="B47" s="44" t="s">
        <v>30</v>
      </c>
      <c r="C47" s="41" t="s">
        <v>31</v>
      </c>
      <c r="D47" s="44">
        <f>IF(C47="Материальные средства подразделения в наличии, исправны, обслужены, хранятся правильно",5,0)</f>
        <v>5</v>
      </c>
    </row>
    <row r="48" spans="1:6" ht="45" customHeight="1" thickBot="1">
      <c r="A48" s="40"/>
      <c r="B48" s="45"/>
      <c r="C48" s="43"/>
      <c r="D48" s="45"/>
    </row>
    <row r="49" spans="1:5">
      <c r="A49" s="39" t="s">
        <v>48</v>
      </c>
      <c r="B49" s="44" t="s">
        <v>33</v>
      </c>
      <c r="C49" s="41" t="s">
        <v>49</v>
      </c>
      <c r="D49" s="44">
        <f>IF(C49="Оценка по физической подготовке (культуре) - 5",2,1)</f>
        <v>2</v>
      </c>
    </row>
    <row r="50" spans="1:5" ht="97.5" customHeight="1" thickBot="1">
      <c r="A50" s="40"/>
      <c r="B50" s="45"/>
      <c r="C50" s="43"/>
      <c r="D50" s="45"/>
    </row>
    <row r="51" spans="1:5" ht="15.75">
      <c r="A51" s="46" t="s">
        <v>34</v>
      </c>
      <c r="B51" s="47"/>
      <c r="C51" s="47"/>
      <c r="D51" s="50">
        <f>SUM(D7:D50)</f>
        <v>77</v>
      </c>
      <c r="E51" s="8"/>
    </row>
    <row r="52" spans="1:5" ht="16.5" thickBot="1">
      <c r="A52" s="48"/>
      <c r="B52" s="49"/>
      <c r="C52" s="49"/>
      <c r="D52" s="42"/>
      <c r="E52" s="8"/>
    </row>
    <row r="54" spans="1:5" ht="20.25">
      <c r="A54" s="37" t="s">
        <v>35</v>
      </c>
      <c r="B54" s="37"/>
      <c r="C54" s="37"/>
      <c r="D54" s="37"/>
      <c r="E54" s="37"/>
    </row>
    <row r="55" spans="1:5" ht="20.25">
      <c r="A55" s="38" t="s">
        <v>36</v>
      </c>
      <c r="B55" s="38"/>
      <c r="C55" s="38"/>
      <c r="D55" s="38"/>
      <c r="E55" s="38"/>
    </row>
    <row r="56" spans="1:5" ht="21">
      <c r="A56" s="9"/>
      <c r="B56" s="9"/>
      <c r="C56" s="10" t="s">
        <v>37</v>
      </c>
      <c r="D56" s="5"/>
      <c r="E56" s="9"/>
    </row>
  </sheetData>
  <mergeCells count="79">
    <mergeCell ref="A1:E1"/>
    <mergeCell ref="A2:E2"/>
    <mergeCell ref="A3:E3"/>
    <mergeCell ref="A4:E4"/>
    <mergeCell ref="B5:B6"/>
    <mergeCell ref="C5:C6"/>
    <mergeCell ref="D5:D6"/>
    <mergeCell ref="A7:A9"/>
    <mergeCell ref="B7:B9"/>
    <mergeCell ref="C7:C9"/>
    <mergeCell ref="D7:D9"/>
    <mergeCell ref="A10:A11"/>
    <mergeCell ref="B10:B11"/>
    <mergeCell ref="C10:C11"/>
    <mergeCell ref="D10:D11"/>
    <mergeCell ref="A12:A14"/>
    <mergeCell ref="B12:B14"/>
    <mergeCell ref="C12:C14"/>
    <mergeCell ref="D12:D14"/>
    <mergeCell ref="A15:A17"/>
    <mergeCell ref="B15:B17"/>
    <mergeCell ref="C15:C17"/>
    <mergeCell ref="D15:D17"/>
    <mergeCell ref="A18:A20"/>
    <mergeCell ref="B18:B20"/>
    <mergeCell ref="C18:C20"/>
    <mergeCell ref="D18:D20"/>
    <mergeCell ref="A21:A23"/>
    <mergeCell ref="B21:B23"/>
    <mergeCell ref="C21:C23"/>
    <mergeCell ref="D21:D23"/>
    <mergeCell ref="A24:A26"/>
    <mergeCell ref="B24:B26"/>
    <mergeCell ref="C24:C26"/>
    <mergeCell ref="D24:D26"/>
    <mergeCell ref="A27:A28"/>
    <mergeCell ref="B27:B28"/>
    <mergeCell ref="C27:C28"/>
    <mergeCell ref="D27:D28"/>
    <mergeCell ref="A29:A31"/>
    <mergeCell ref="B29:B31"/>
    <mergeCell ref="C29:C31"/>
    <mergeCell ref="D29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8"/>
    <mergeCell ref="B36:B38"/>
    <mergeCell ref="C36:C38"/>
    <mergeCell ref="D36:D38"/>
    <mergeCell ref="A39:A41"/>
    <mergeCell ref="B39:B41"/>
    <mergeCell ref="C39:C41"/>
    <mergeCell ref="D39:D41"/>
    <mergeCell ref="A42:A43"/>
    <mergeCell ref="B42:B43"/>
    <mergeCell ref="C42:C43"/>
    <mergeCell ref="D42:D43"/>
    <mergeCell ref="A44:A46"/>
    <mergeCell ref="B44:B46"/>
    <mergeCell ref="C44:C46"/>
    <mergeCell ref="D44:D46"/>
    <mergeCell ref="A47:A48"/>
    <mergeCell ref="B47:B48"/>
    <mergeCell ref="C47:C48"/>
    <mergeCell ref="D47:D48"/>
    <mergeCell ref="A54:E54"/>
    <mergeCell ref="A55:E55"/>
    <mergeCell ref="A49:A50"/>
    <mergeCell ref="B49:B50"/>
    <mergeCell ref="C49:C50"/>
    <mergeCell ref="D49:D50"/>
    <mergeCell ref="A51:C52"/>
    <mergeCell ref="D51:D52"/>
  </mergeCells>
  <dataValidations count="17">
    <dataValidation type="list" allowBlank="1" showInputMessage="1" showErrorMessage="1" sqref="C7:C9">
      <formula1>$G$7:$G$9</formula1>
    </dataValidation>
    <dataValidation type="list" allowBlank="1" showInputMessage="1" showErrorMessage="1" sqref="C10:C11">
      <formula1>"Академические задолжности отсутствуют, Имеются академические задолжности в учебной группе или у КУГ"</formula1>
    </dataValidation>
    <dataValidation type="list" allowBlank="1" showInputMessage="1" showErrorMessage="1" sqref="C12:C14">
      <formula1>"В подразделении и у КУГ отсутствуют текущие задолжности,Имеются менее 20% текущих задолжностей в подразделении или у КУГ,Имеются более 20% текущих задолжностей в подразделении или у КУГ"</formula1>
    </dataValidation>
    <dataValidation type="list" allowBlank="1" showInputMessage="1" showErrorMessage="1" sqref="C15:C17">
      <formula1>$L$15:$L$17</formula1>
    </dataValidation>
    <dataValidation type="list" allowBlank="1" showInputMessage="1" showErrorMessage="1" sqref="C21:C23">
      <formula1>"Замечания в подразделении и у КУГ отсутствуют,В подразделении 2 замечания у КУГ отсутствуют,В подразделении 3 и более замечаний или замечания у КУГ"</formula1>
    </dataValidation>
    <dataValidation type="list" allowBlank="1" showInputMessage="1" showErrorMessage="1" sqref="C24:C26">
      <formula1>"ПРО, ПРЕ, ГДП в подразделении и КУГ отсутствуют, ПРО, ПРЕ отсутствуют, имеются не снятые взыскания за ГДП в подразделении, у КУГ отсутствуют, Совершено ПРО, ПРЕ, ГДП в подразделении или КУГ или допущено сокрытие"</formula1>
    </dataValidation>
    <dataValidation type="list" allowBlank="1" showInputMessage="1" showErrorMessage="1" sqref="C27:C28">
      <formula1>"Дисциплинарная практика к подчиненному личному составу ведется,Дисциплинарная практика к подчиненному личному составу не реализуется или КУГ имеет дисциплинарные взыскания"</formula1>
    </dataValidation>
    <dataValidation type="list" allowBlank="1" showInputMessage="1" showErrorMessage="1" sqref="C29:C31">
      <formula1>"Обстановкой владеет, доклады представляет, книжка сержантов актуальна,Обстановкой владеет, доклады представляет, книжка сержантов не актуальна,Обстановкой не владеет, доклады не представляет, книжка сержантов не актуальна"</formula1>
    </dataValidation>
    <dataValidation type="list" allowBlank="1" showInputMessage="1" showErrorMessage="1" sqref="C32:C33">
      <formula1>"Подведение итогов актуально, поставлены конкретные задачи и проводится в установленное время,Подведение итогов не актуально, не поставлены задачи или не проводится"</formula1>
    </dataValidation>
    <dataValidation type="list" allowBlank="1" showInputMessage="1" showErrorMessage="1" sqref="C34:C35">
      <formula1>"Увольнения распределены равномерно,Увольнения распределяются не равномерно"</formula1>
    </dataValidation>
    <dataValidation type="list" allowBlank="1" showInputMessage="1" showErrorMessage="1" sqref="C36:C38">
      <formula1>"Наряды и уборщики распределены равномерно,Наряды распределены равномерно, уборщики не равномерно,Наряды и уборщики распределены не равномерно"</formula1>
    </dataValidation>
    <dataValidation type="list" allowBlank="1" showInputMessage="1" showErrorMessage="1" sqref="C39:C41">
      <formula1>"Замечания у подчиненного л/с отсутствуют, КУГ оценен не ниже «хорошо»,Выявлено не более 2 замечаний у подчиненного л/с, КУГ оценен не ниже «хорошо»,Л/с отстранен или выявлено более 2 замечаний, КУГ оценен ниже «хорошо»,"</formula1>
    </dataValidation>
    <dataValidation type="list" allowBlank="1" showInputMessage="1" showErrorMessage="1" sqref="C42:C43">
      <formula1>"Нарушений ТБ, приведших к травматизму л/с нет,Есть нарушения ТБ, приведших к травматизму л/с"</formula1>
    </dataValidation>
    <dataValidation type="list" allowBlank="1" showInputMessage="1" showErrorMessage="1" sqref="C44:C46">
      <formula1>"Элементы распорядка дня соблюдаются,Не более пяти нарушений распорядка дня, срывов мероприятий не допущено,Более пяти нарушений элементов распорядка дня или мероприятие сорвано"</formula1>
    </dataValidation>
    <dataValidation type="list" allowBlank="1" showInputMessage="1" showErrorMessage="1" sqref="C47:C48">
      <formula1>"Материальные средства подразделения в наличии, исправны, обслужены, хранятся правильно,Не выполнены предъявляемые критерии "</formula1>
    </dataValidation>
    <dataValidation type="list" allowBlank="1" showInputMessage="1" showErrorMessage="1" sqref="C49:C50">
      <formula1>"Оценка по физической подготовке (культуре) - 5,Оценка по физической подготовке (культуре) - 4"</formula1>
    </dataValidation>
    <dataValidation type="list" allowBlank="1" showInputMessage="1" showErrorMessage="1" sqref="C18:C20">
      <formula1>$L$18:$L$20</formula1>
    </dataValidation>
  </dataValidations>
  <pageMargins left="0.7" right="0.7" top="0.75" bottom="0.75" header="0.3" footer="0.3"/>
  <pageSetup paperSize="9" orientation="portrait" verticalDpi="0" r:id="rId1"/>
</worksheet>
</file>

<file path=xl/worksheets/sheet56.xml><?xml version="1.0" encoding="utf-8"?>
<worksheet xmlns="http://schemas.openxmlformats.org/spreadsheetml/2006/main" xmlns:r="http://schemas.openxmlformats.org/officeDocument/2006/relationships">
  <sheetPr>
    <tabColor rgb="FFFF0000"/>
  </sheetPr>
  <dimension ref="A1:U46"/>
  <sheetViews>
    <sheetView topLeftCell="A28" zoomScale="115" zoomScaleNormal="115" workbookViewId="0">
      <selection activeCell="C28" sqref="C28:C30"/>
    </sheetView>
  </sheetViews>
  <sheetFormatPr defaultRowHeight="15"/>
  <cols>
    <col min="2" max="2" width="26" customWidth="1"/>
    <col min="3" max="3" width="58.5703125" customWidth="1"/>
    <col min="4" max="4" width="28.42578125" customWidth="1"/>
    <col min="5" max="5" width="24.140625" hidden="1" customWidth="1"/>
    <col min="6" max="6" width="24" hidden="1" customWidth="1"/>
    <col min="7" max="7" width="19.42578125" hidden="1" customWidth="1"/>
    <col min="8" max="8" width="18.42578125" customWidth="1"/>
  </cols>
  <sheetData>
    <row r="1" spans="1:21" ht="20.25">
      <c r="A1" s="56" t="s">
        <v>0</v>
      </c>
      <c r="B1" s="56"/>
      <c r="C1" s="56"/>
      <c r="D1" s="56"/>
      <c r="E1" s="56"/>
    </row>
    <row r="2" spans="1:21" ht="18.75">
      <c r="A2" s="57" t="s">
        <v>1</v>
      </c>
      <c r="B2" s="57"/>
      <c r="C2" s="57"/>
      <c r="D2" s="57"/>
      <c r="E2" s="57"/>
    </row>
    <row r="3" spans="1:21" ht="18.75" customHeight="1">
      <c r="A3" s="58" t="s">
        <v>271</v>
      </c>
      <c r="B3" s="57"/>
      <c r="C3" s="57"/>
      <c r="D3" s="57"/>
      <c r="E3" s="57"/>
    </row>
    <row r="4" spans="1:21" ht="16.5" thickBot="1">
      <c r="A4" s="59"/>
      <c r="B4" s="59"/>
      <c r="C4" s="59"/>
      <c r="D4" s="59"/>
      <c r="E4" s="59"/>
    </row>
    <row r="5" spans="1:21" ht="15.75">
      <c r="A5" s="2" t="s">
        <v>3</v>
      </c>
      <c r="B5" s="60" t="s">
        <v>54</v>
      </c>
      <c r="C5" s="60" t="s">
        <v>55</v>
      </c>
      <c r="D5" s="60" t="s">
        <v>42</v>
      </c>
    </row>
    <row r="6" spans="1:21" ht="16.5" thickBot="1">
      <c r="A6" s="4" t="s">
        <v>4</v>
      </c>
      <c r="B6" s="61"/>
      <c r="C6" s="61"/>
      <c r="D6" s="61"/>
    </row>
    <row r="7" spans="1:21" ht="13.5" customHeight="1">
      <c r="A7" s="39" t="s">
        <v>5</v>
      </c>
      <c r="B7" s="44" t="s">
        <v>6</v>
      </c>
      <c r="C7" s="44" t="s">
        <v>83</v>
      </c>
      <c r="D7" s="44">
        <f>IF(IFERROR(SEARCH("подразделения ≥ 4,5", C7), 0) &gt; 0, 5, IF(IFERROR(SEARCH("подразделения ≥ 4,0", C7), 0) &gt; 0, 3, IF(IFERROR(SEARCH("&lt;", C7), 0) &gt; 0, 0,)))</f>
        <v>3</v>
      </c>
      <c r="F7">
        <v>5</v>
      </c>
      <c r="G7" s="16" t="s">
        <v>82</v>
      </c>
      <c r="N7" s="15"/>
      <c r="U7" s="15"/>
    </row>
    <row r="8" spans="1:21" ht="20.25" customHeight="1">
      <c r="A8" s="51"/>
      <c r="B8" s="54"/>
      <c r="C8" s="52"/>
      <c r="D8" s="52"/>
      <c r="F8">
        <v>3</v>
      </c>
      <c r="G8" s="17" t="s">
        <v>83</v>
      </c>
      <c r="N8" s="13"/>
      <c r="U8" s="13"/>
    </row>
    <row r="9" spans="1:21" ht="18" customHeight="1" thickBot="1">
      <c r="A9" s="40"/>
      <c r="B9" s="55"/>
      <c r="C9" s="45"/>
      <c r="D9" s="45"/>
      <c r="F9">
        <v>0</v>
      </c>
      <c r="G9" s="18" t="s">
        <v>84</v>
      </c>
    </row>
    <row r="10" spans="1:21">
      <c r="A10" s="39" t="s">
        <v>7</v>
      </c>
      <c r="B10" s="44" t="s">
        <v>8</v>
      </c>
      <c r="C10" s="44" t="s">
        <v>85</v>
      </c>
      <c r="D10" s="44">
        <f>IF(IFERROR(SEARCH("отсутствуют", C10), 0) &gt; 0, 10, IF(IFERROR(SEARCH("имеются", C10), 0) &gt; 0, 0, ))</f>
        <v>10</v>
      </c>
      <c r="F10">
        <v>10</v>
      </c>
      <c r="G10" t="s">
        <v>85</v>
      </c>
    </row>
    <row r="11" spans="1:21" ht="24.75" customHeight="1" thickBot="1">
      <c r="A11" s="40"/>
      <c r="B11" s="45"/>
      <c r="C11" s="45"/>
      <c r="D11" s="45"/>
      <c r="F11">
        <v>0</v>
      </c>
      <c r="G11" s="13" t="s">
        <v>86</v>
      </c>
    </row>
    <row r="12" spans="1:21" ht="18" customHeight="1" thickBot="1">
      <c r="A12" s="39" t="s">
        <v>9</v>
      </c>
      <c r="B12" s="44" t="s">
        <v>10</v>
      </c>
      <c r="C12" s="44" t="s">
        <v>87</v>
      </c>
      <c r="D12" s="44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>5</v>
      </c>
      <c r="F12">
        <v>5</v>
      </c>
      <c r="G12" s="14" t="s">
        <v>87</v>
      </c>
    </row>
    <row r="13" spans="1:21" ht="15.75">
      <c r="A13" s="51"/>
      <c r="B13" s="52"/>
      <c r="C13" s="52"/>
      <c r="D13" s="52"/>
      <c r="F13">
        <v>3</v>
      </c>
      <c r="G13" s="13" t="s">
        <v>88</v>
      </c>
    </row>
    <row r="14" spans="1:21" ht="16.5" thickBot="1">
      <c r="A14" s="40"/>
      <c r="B14" s="45"/>
      <c r="C14" s="45"/>
      <c r="D14" s="45"/>
      <c r="F14">
        <v>0</v>
      </c>
      <c r="G14" s="13" t="s">
        <v>89</v>
      </c>
    </row>
    <row r="15" spans="1:21" ht="15.75">
      <c r="A15" s="39" t="s">
        <v>11</v>
      </c>
      <c r="B15" s="44" t="s">
        <v>12</v>
      </c>
      <c r="C15" s="41" t="s">
        <v>91</v>
      </c>
      <c r="D15" s="44">
        <f>IF(IFERROR(SEARCH("Отсутствуют", C15), 0) &gt; 0, 5, IF(IFERROR(SEARCH("Наличие одного", C15), 0) &gt; 0, 3, IF(IFERROR(SEARCH("Наличие двух", C15), 0) &gt; 0, 0,)))</f>
        <v>3</v>
      </c>
      <c r="F15">
        <v>5</v>
      </c>
      <c r="G15" s="19" t="s">
        <v>90</v>
      </c>
    </row>
    <row r="16" spans="1:21" ht="15.75">
      <c r="A16" s="51"/>
      <c r="B16" s="52"/>
      <c r="C16" s="53"/>
      <c r="D16" s="52"/>
      <c r="F16">
        <v>3</v>
      </c>
      <c r="G16" s="13" t="s">
        <v>91</v>
      </c>
    </row>
    <row r="17" spans="1:7" ht="92.25" customHeight="1" thickBot="1">
      <c r="A17" s="40"/>
      <c r="B17" s="45"/>
      <c r="C17" s="43"/>
      <c r="D17" s="45"/>
      <c r="F17">
        <v>0</v>
      </c>
      <c r="G17" s="13" t="s">
        <v>92</v>
      </c>
    </row>
    <row r="18" spans="1:7" ht="15" customHeight="1" thickBot="1">
      <c r="A18" s="39" t="s">
        <v>13</v>
      </c>
      <c r="B18" s="44" t="s">
        <v>14</v>
      </c>
      <c r="C18" s="41" t="s">
        <v>93</v>
      </c>
      <c r="D18" s="44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>10</v>
      </c>
      <c r="F18">
        <v>10</v>
      </c>
      <c r="G18" s="13" t="s">
        <v>93</v>
      </c>
    </row>
    <row r="19" spans="1:7" ht="15" customHeight="1" thickBot="1">
      <c r="A19" s="51"/>
      <c r="B19" s="52"/>
      <c r="C19" s="53"/>
      <c r="D19" s="52"/>
      <c r="F19">
        <v>2</v>
      </c>
      <c r="G19" s="14" t="s">
        <v>94</v>
      </c>
    </row>
    <row r="20" spans="1:7" ht="57" customHeight="1" thickBot="1">
      <c r="A20" s="40"/>
      <c r="B20" s="45"/>
      <c r="C20" s="43"/>
      <c r="D20" s="45"/>
      <c r="F20">
        <v>0</v>
      </c>
      <c r="G20" s="13" t="s">
        <v>95</v>
      </c>
    </row>
    <row r="21" spans="1:7" ht="15.75">
      <c r="A21" s="39" t="s">
        <v>15</v>
      </c>
      <c r="B21" s="44" t="s">
        <v>16</v>
      </c>
      <c r="C21" s="41" t="s">
        <v>96</v>
      </c>
      <c r="D21" s="44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>5</v>
      </c>
      <c r="F21">
        <v>5</v>
      </c>
      <c r="G21" s="13" t="s">
        <v>96</v>
      </c>
    </row>
    <row r="22" spans="1:7" ht="42.75" customHeight="1" thickBot="1">
      <c r="A22" s="40"/>
      <c r="B22" s="45"/>
      <c r="C22" s="43"/>
      <c r="D22" s="45"/>
      <c r="F22">
        <v>0</v>
      </c>
      <c r="G22" s="13" t="s">
        <v>97</v>
      </c>
    </row>
    <row r="23" spans="1:7" ht="15.75">
      <c r="A23" s="39" t="s">
        <v>17</v>
      </c>
      <c r="B23" s="44" t="s">
        <v>18</v>
      </c>
      <c r="C23" s="41" t="s">
        <v>19</v>
      </c>
      <c r="D23" s="44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>10</v>
      </c>
      <c r="F23">
        <v>10</v>
      </c>
      <c r="G23" s="13" t="s">
        <v>19</v>
      </c>
    </row>
    <row r="24" spans="1:7" ht="15.75">
      <c r="A24" s="51"/>
      <c r="B24" s="52"/>
      <c r="C24" s="53"/>
      <c r="D24" s="52"/>
      <c r="F24">
        <v>5</v>
      </c>
      <c r="G24" s="13" t="s">
        <v>98</v>
      </c>
    </row>
    <row r="25" spans="1:7" ht="82.5" customHeight="1" thickBot="1">
      <c r="A25" s="40"/>
      <c r="B25" s="45"/>
      <c r="C25" s="43"/>
      <c r="D25" s="45"/>
      <c r="F25">
        <v>0</v>
      </c>
      <c r="G25" s="13" t="s">
        <v>99</v>
      </c>
    </row>
    <row r="26" spans="1:7" ht="15.75">
      <c r="A26" s="39" t="s">
        <v>20</v>
      </c>
      <c r="B26" s="44" t="s">
        <v>21</v>
      </c>
      <c r="C26" s="41" t="s">
        <v>22</v>
      </c>
      <c r="D26" s="44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>3</v>
      </c>
      <c r="F26">
        <v>3</v>
      </c>
      <c r="G26" s="13" t="s">
        <v>22</v>
      </c>
    </row>
    <row r="27" spans="1:7" ht="41.25" customHeight="1" thickBot="1">
      <c r="A27" s="40"/>
      <c r="B27" s="45"/>
      <c r="C27" s="43"/>
      <c r="D27" s="45"/>
      <c r="F27">
        <v>0</v>
      </c>
      <c r="G27" s="13" t="s">
        <v>100</v>
      </c>
    </row>
    <row r="28" spans="1:7" ht="15.75">
      <c r="A28" s="39" t="s">
        <v>23</v>
      </c>
      <c r="B28" s="44" t="s">
        <v>24</v>
      </c>
      <c r="C28" s="41" t="s">
        <v>101</v>
      </c>
      <c r="D28" s="44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>5</v>
      </c>
      <c r="F28">
        <v>5</v>
      </c>
      <c r="G28" s="13" t="s">
        <v>101</v>
      </c>
    </row>
    <row r="29" spans="1:7" ht="15.75">
      <c r="A29" s="51"/>
      <c r="B29" s="52"/>
      <c r="C29" s="53"/>
      <c r="D29" s="52"/>
      <c r="F29">
        <v>3</v>
      </c>
      <c r="G29" s="13" t="s">
        <v>102</v>
      </c>
    </row>
    <row r="30" spans="1:7" ht="61.5" customHeight="1" thickBot="1">
      <c r="A30" s="40"/>
      <c r="B30" s="45"/>
      <c r="C30" s="43"/>
      <c r="D30" s="45"/>
      <c r="F30">
        <v>0</v>
      </c>
      <c r="G30" s="13" t="s">
        <v>103</v>
      </c>
    </row>
    <row r="31" spans="1:7" ht="15.75">
      <c r="A31" s="39" t="s">
        <v>25</v>
      </c>
      <c r="B31" s="44" t="s">
        <v>26</v>
      </c>
      <c r="C31" s="41" t="s">
        <v>104</v>
      </c>
      <c r="D31" s="44">
        <f>IF(IFERROR(SEARCH("Отсутствуют нарушения ТБ", C31), 0) &gt; 0, 10, IF(IFERROR(SEARCH("Имелись нарушения ТБ", C31), 0) &gt; 0, 0, ))</f>
        <v>10</v>
      </c>
      <c r="F31">
        <v>10</v>
      </c>
      <c r="G31" s="13" t="s">
        <v>104</v>
      </c>
    </row>
    <row r="32" spans="1:7" ht="33.75" customHeight="1" thickBot="1">
      <c r="A32" s="40"/>
      <c r="B32" s="45"/>
      <c r="C32" s="43"/>
      <c r="D32" s="45"/>
      <c r="F32">
        <v>0</v>
      </c>
      <c r="G32" s="13" t="s">
        <v>105</v>
      </c>
    </row>
    <row r="33" spans="1:7" ht="15.75">
      <c r="A33" s="39" t="s">
        <v>27</v>
      </c>
      <c r="B33" s="44" t="s">
        <v>28</v>
      </c>
      <c r="C33" s="41" t="s">
        <v>52</v>
      </c>
      <c r="D33" s="44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>10</v>
      </c>
      <c r="F33">
        <v>10</v>
      </c>
      <c r="G33" s="13" t="s">
        <v>52</v>
      </c>
    </row>
    <row r="34" spans="1:7" ht="15.75">
      <c r="A34" s="51"/>
      <c r="B34" s="52"/>
      <c r="C34" s="53"/>
      <c r="D34" s="52"/>
      <c r="F34">
        <v>5</v>
      </c>
      <c r="G34" s="13" t="s">
        <v>106</v>
      </c>
    </row>
    <row r="35" spans="1:7" ht="18" customHeight="1" thickBot="1">
      <c r="A35" s="40"/>
      <c r="B35" s="45"/>
      <c r="C35" s="43"/>
      <c r="D35" s="45"/>
      <c r="F35">
        <v>0</v>
      </c>
      <c r="G35" s="13" t="s">
        <v>107</v>
      </c>
    </row>
    <row r="36" spans="1:7" ht="15.75">
      <c r="A36" s="39" t="s">
        <v>29</v>
      </c>
      <c r="B36" s="44" t="s">
        <v>30</v>
      </c>
      <c r="C36" s="41" t="s">
        <v>31</v>
      </c>
      <c r="D36" s="44">
        <f>IF(IFERROR(SEARCH("Материальные средства ", C36), 0) &gt; 0, 5, IF(IFERROR(SEARCH("Не выполнены ", C36), 0) &gt; 0, 0, ))</f>
        <v>5</v>
      </c>
      <c r="F36">
        <v>5</v>
      </c>
      <c r="G36" s="13" t="s">
        <v>31</v>
      </c>
    </row>
    <row r="37" spans="1:7" ht="45" customHeight="1" thickBot="1">
      <c r="A37" s="40"/>
      <c r="B37" s="45"/>
      <c r="C37" s="43"/>
      <c r="D37" s="45"/>
      <c r="F37">
        <v>0</v>
      </c>
      <c r="G37" s="13" t="s">
        <v>110</v>
      </c>
    </row>
    <row r="38" spans="1:7" ht="15.75">
      <c r="A38" s="39" t="s">
        <v>32</v>
      </c>
      <c r="B38" s="44" t="s">
        <v>33</v>
      </c>
      <c r="C38" s="41" t="s">
        <v>108</v>
      </c>
      <c r="D38" s="44">
        <f>IF(IFERROR(SEARCH("5", C38), 0) &gt; 0, 2, IF(IFERROR(SEARCH("4", C38), 0) &gt; 0, 1, ))</f>
        <v>2</v>
      </c>
      <c r="F38">
        <v>2</v>
      </c>
      <c r="G38" s="13" t="s">
        <v>108</v>
      </c>
    </row>
    <row r="39" spans="1:7" ht="103.5" customHeight="1" thickBot="1">
      <c r="A39" s="40"/>
      <c r="B39" s="45"/>
      <c r="C39" s="43"/>
      <c r="D39" s="45"/>
      <c r="F39">
        <v>1</v>
      </c>
      <c r="G39" s="13" t="s">
        <v>109</v>
      </c>
    </row>
    <row r="40" spans="1:7">
      <c r="A40" s="46" t="s">
        <v>34</v>
      </c>
      <c r="B40" s="47"/>
      <c r="C40" s="66"/>
      <c r="D40" s="68">
        <f>SUM(D7:D39)</f>
        <v>81</v>
      </c>
      <c r="E40" s="65"/>
    </row>
    <row r="41" spans="1:7" ht="15.75" thickBot="1">
      <c r="A41" s="48"/>
      <c r="B41" s="49"/>
      <c r="C41" s="67"/>
      <c r="D41" s="69"/>
      <c r="E41" s="65"/>
    </row>
    <row r="43" spans="1:7" ht="20.25">
      <c r="A43" s="37" t="s">
        <v>35</v>
      </c>
      <c r="B43" s="37"/>
      <c r="C43" s="37"/>
      <c r="D43" s="5"/>
      <c r="E43" s="5"/>
    </row>
    <row r="44" spans="1:7" ht="20.25">
      <c r="A44" s="37"/>
      <c r="B44" s="37"/>
      <c r="C44" s="37"/>
      <c r="D44" s="6"/>
      <c r="E44" s="6"/>
    </row>
    <row r="45" spans="1:7" ht="20.25">
      <c r="A45" s="5"/>
      <c r="B45" s="5"/>
      <c r="C45" s="5" t="s">
        <v>36</v>
      </c>
      <c r="D45" s="5"/>
      <c r="E45" s="5"/>
    </row>
    <row r="46" spans="1:7" ht="20.25">
      <c r="A46" s="5"/>
      <c r="B46" s="5"/>
      <c r="C46" s="7" t="s">
        <v>37</v>
      </c>
    </row>
  </sheetData>
  <mergeCells count="63">
    <mergeCell ref="A1:E1"/>
    <mergeCell ref="A2:E2"/>
    <mergeCell ref="A3:E3"/>
    <mergeCell ref="A4:E4"/>
    <mergeCell ref="B5:B6"/>
    <mergeCell ref="C5:C6"/>
    <mergeCell ref="D5:D6"/>
    <mergeCell ref="A7:A9"/>
    <mergeCell ref="B7:B9"/>
    <mergeCell ref="C7:C9"/>
    <mergeCell ref="D7:D9"/>
    <mergeCell ref="A10:A11"/>
    <mergeCell ref="B10:B11"/>
    <mergeCell ref="C10:C11"/>
    <mergeCell ref="D10:D11"/>
    <mergeCell ref="A12:A14"/>
    <mergeCell ref="B12:B14"/>
    <mergeCell ref="C12:C14"/>
    <mergeCell ref="D12:D14"/>
    <mergeCell ref="A15:A17"/>
    <mergeCell ref="B15:B17"/>
    <mergeCell ref="C15:C17"/>
    <mergeCell ref="D15:D17"/>
    <mergeCell ref="A18:A20"/>
    <mergeCell ref="B18:B20"/>
    <mergeCell ref="C18:C20"/>
    <mergeCell ref="D18:D20"/>
    <mergeCell ref="A21:A22"/>
    <mergeCell ref="B21:B22"/>
    <mergeCell ref="C21:C22"/>
    <mergeCell ref="D21:D22"/>
    <mergeCell ref="A23:A25"/>
    <mergeCell ref="B23:B25"/>
    <mergeCell ref="C23:C25"/>
    <mergeCell ref="D23:D25"/>
    <mergeCell ref="A26:A27"/>
    <mergeCell ref="B26:B27"/>
    <mergeCell ref="C26:C27"/>
    <mergeCell ref="D26:D27"/>
    <mergeCell ref="A28:A30"/>
    <mergeCell ref="B28:B30"/>
    <mergeCell ref="C28:C30"/>
    <mergeCell ref="D28:D30"/>
    <mergeCell ref="A31:A32"/>
    <mergeCell ref="B31:B32"/>
    <mergeCell ref="C31:C32"/>
    <mergeCell ref="D31:D32"/>
    <mergeCell ref="A33:A35"/>
    <mergeCell ref="B33:B35"/>
    <mergeCell ref="C33:C35"/>
    <mergeCell ref="D33:D35"/>
    <mergeCell ref="A36:A37"/>
    <mergeCell ref="B36:B37"/>
    <mergeCell ref="C36:C37"/>
    <mergeCell ref="D36:D37"/>
    <mergeCell ref="E40:E41"/>
    <mergeCell ref="A43:C44"/>
    <mergeCell ref="A38:A39"/>
    <mergeCell ref="B38:B39"/>
    <mergeCell ref="C38:C39"/>
    <mergeCell ref="D38:D39"/>
    <mergeCell ref="A40:C41"/>
    <mergeCell ref="D40:D41"/>
  </mergeCells>
  <dataValidations count="13">
    <dataValidation type="list" allowBlank="1" showInputMessage="1" showErrorMessage="1" sqref="C38:C39">
      <formula1>$G$38:$G$39</formula1>
    </dataValidation>
    <dataValidation type="list" allowBlank="1" showInputMessage="1" showErrorMessage="1" sqref="C36:C37">
      <formula1>$G$36:$G$37</formula1>
    </dataValidation>
    <dataValidation type="list" allowBlank="1" showInputMessage="1" showErrorMessage="1" sqref="C33:C35">
      <formula1>$G$33:$G$35</formula1>
    </dataValidation>
    <dataValidation type="list" allowBlank="1" showInputMessage="1" showErrorMessage="1" sqref="C31:C32">
      <formula1>$G$31:$G$32</formula1>
    </dataValidation>
    <dataValidation type="list" allowBlank="1" showInputMessage="1" showErrorMessage="1" sqref="C28:C30">
      <formula1>$G$28:$G$30</formula1>
    </dataValidation>
    <dataValidation type="list" allowBlank="1" showInputMessage="1" showErrorMessage="1" sqref="C26:C27">
      <formula1>$G$26:$G$27</formula1>
    </dataValidation>
    <dataValidation type="list" allowBlank="1" showInputMessage="1" showErrorMessage="1" sqref="C23:C25">
      <formula1>$G$23:$G$25</formula1>
    </dataValidation>
    <dataValidation type="list" allowBlank="1" showInputMessage="1" showErrorMessage="1" sqref="C21:C22">
      <formula1>$G$21:$G$22</formula1>
    </dataValidation>
    <dataValidation type="list" allowBlank="1" showInputMessage="1" showErrorMessage="1" sqref="C18:C20">
      <formula1>$G$18:$G$20</formula1>
    </dataValidation>
    <dataValidation type="list" allowBlank="1" showInputMessage="1" showErrorMessage="1" sqref="C15:C17">
      <formula1>$G$15:$G$17</formula1>
    </dataValidation>
    <dataValidation type="list" allowBlank="1" showInputMessage="1" showErrorMessage="1" sqref="C12:C14">
      <formula1>$G$12:$G$14</formula1>
    </dataValidation>
    <dataValidation type="list" allowBlank="1" showInputMessage="1" showErrorMessage="1" sqref="C10:C11">
      <formula1>$G$10:$G$11</formula1>
    </dataValidation>
    <dataValidation type="list" allowBlank="1" showInputMessage="1" showErrorMessage="1" sqref="C7:C9">
      <formula1>$G$7:$G$9</formula1>
    </dataValidation>
  </dataValidation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sheetPr>
    <tabColor rgb="FFFF0000"/>
  </sheetPr>
  <dimension ref="A1:U46"/>
  <sheetViews>
    <sheetView topLeftCell="A31" zoomScale="115" zoomScaleNormal="115" workbookViewId="0">
      <selection activeCell="C31" sqref="C31:C32"/>
    </sheetView>
  </sheetViews>
  <sheetFormatPr defaultRowHeight="15"/>
  <cols>
    <col min="2" max="2" width="26" customWidth="1"/>
    <col min="3" max="3" width="58.5703125" customWidth="1"/>
    <col min="4" max="4" width="28.42578125" customWidth="1"/>
    <col min="5" max="5" width="24.140625" hidden="1" customWidth="1"/>
    <col min="6" max="6" width="24" hidden="1" customWidth="1"/>
    <col min="7" max="7" width="19.42578125" hidden="1" customWidth="1"/>
    <col min="8" max="8" width="18.42578125" customWidth="1"/>
  </cols>
  <sheetData>
    <row r="1" spans="1:21" ht="20.25">
      <c r="A1" s="56" t="s">
        <v>0</v>
      </c>
      <c r="B1" s="56"/>
      <c r="C1" s="56"/>
      <c r="D1" s="56"/>
      <c r="E1" s="56"/>
    </row>
    <row r="2" spans="1:21" ht="18.75">
      <c r="A2" s="57" t="s">
        <v>1</v>
      </c>
      <c r="B2" s="57"/>
      <c r="C2" s="57"/>
      <c r="D2" s="57"/>
      <c r="E2" s="57"/>
    </row>
    <row r="3" spans="1:21" ht="18.75" customHeight="1">
      <c r="A3" s="58" t="s">
        <v>270</v>
      </c>
      <c r="B3" s="57"/>
      <c r="C3" s="57"/>
      <c r="D3" s="57"/>
      <c r="E3" s="57"/>
    </row>
    <row r="4" spans="1:21" ht="16.5" thickBot="1">
      <c r="A4" s="59"/>
      <c r="B4" s="59"/>
      <c r="C4" s="59"/>
      <c r="D4" s="59"/>
      <c r="E4" s="59"/>
    </row>
    <row r="5" spans="1:21" ht="15.75">
      <c r="A5" s="2" t="s">
        <v>3</v>
      </c>
      <c r="B5" s="60" t="s">
        <v>54</v>
      </c>
      <c r="C5" s="60" t="s">
        <v>55</v>
      </c>
      <c r="D5" s="60" t="s">
        <v>42</v>
      </c>
    </row>
    <row r="6" spans="1:21" ht="16.5" thickBot="1">
      <c r="A6" s="4" t="s">
        <v>4</v>
      </c>
      <c r="B6" s="61"/>
      <c r="C6" s="61"/>
      <c r="D6" s="61"/>
    </row>
    <row r="7" spans="1:21" ht="13.5" customHeight="1">
      <c r="A7" s="39" t="s">
        <v>5</v>
      </c>
      <c r="B7" s="44" t="s">
        <v>6</v>
      </c>
      <c r="C7" s="44" t="s">
        <v>83</v>
      </c>
      <c r="D7" s="44">
        <f>IF(IFERROR(SEARCH("подразделения ≥ 4,5", C7), 0) &gt; 0, 5, IF(IFERROR(SEARCH("подразделения ≥ 4,0", C7), 0) &gt; 0, 3, IF(IFERROR(SEARCH("&lt;", C7), 0) &gt; 0, 0,)))</f>
        <v>3</v>
      </c>
      <c r="F7">
        <v>5</v>
      </c>
      <c r="G7" s="16" t="s">
        <v>82</v>
      </c>
      <c r="N7" s="15"/>
      <c r="U7" s="15"/>
    </row>
    <row r="8" spans="1:21" ht="20.25" customHeight="1">
      <c r="A8" s="51"/>
      <c r="B8" s="54"/>
      <c r="C8" s="52"/>
      <c r="D8" s="52"/>
      <c r="F8">
        <v>3</v>
      </c>
      <c r="G8" s="17" t="s">
        <v>83</v>
      </c>
      <c r="N8" s="13"/>
      <c r="U8" s="13"/>
    </row>
    <row r="9" spans="1:21" ht="18" customHeight="1" thickBot="1">
      <c r="A9" s="40"/>
      <c r="B9" s="55"/>
      <c r="C9" s="45"/>
      <c r="D9" s="45"/>
      <c r="F9">
        <v>0</v>
      </c>
      <c r="G9" s="18" t="s">
        <v>84</v>
      </c>
    </row>
    <row r="10" spans="1:21">
      <c r="A10" s="39" t="s">
        <v>7</v>
      </c>
      <c r="B10" s="44" t="s">
        <v>8</v>
      </c>
      <c r="C10" s="44" t="s">
        <v>86</v>
      </c>
      <c r="D10" s="44">
        <f>IF(IFERROR(SEARCH("отсутствуют", C10), 0) &gt; 0, 10, IF(IFERROR(SEARCH("имеются", C10), 0) &gt; 0, 0, ))</f>
        <v>0</v>
      </c>
      <c r="F10">
        <v>10</v>
      </c>
      <c r="G10" t="s">
        <v>85</v>
      </c>
    </row>
    <row r="11" spans="1:21" ht="24.75" customHeight="1" thickBot="1">
      <c r="A11" s="40"/>
      <c r="B11" s="45"/>
      <c r="C11" s="45"/>
      <c r="D11" s="45"/>
      <c r="F11">
        <v>0</v>
      </c>
      <c r="G11" s="13" t="s">
        <v>86</v>
      </c>
    </row>
    <row r="12" spans="1:21" ht="18" customHeight="1" thickBot="1">
      <c r="A12" s="39" t="s">
        <v>9</v>
      </c>
      <c r="B12" s="44" t="s">
        <v>10</v>
      </c>
      <c r="C12" s="44" t="s">
        <v>87</v>
      </c>
      <c r="D12" s="44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>5</v>
      </c>
      <c r="F12">
        <v>5</v>
      </c>
      <c r="G12" s="14" t="s">
        <v>87</v>
      </c>
    </row>
    <row r="13" spans="1:21" ht="15.75">
      <c r="A13" s="51"/>
      <c r="B13" s="52"/>
      <c r="C13" s="52"/>
      <c r="D13" s="52"/>
      <c r="F13">
        <v>3</v>
      </c>
      <c r="G13" s="13" t="s">
        <v>88</v>
      </c>
    </row>
    <row r="14" spans="1:21" ht="16.5" thickBot="1">
      <c r="A14" s="40"/>
      <c r="B14" s="45"/>
      <c r="C14" s="45"/>
      <c r="D14" s="45"/>
      <c r="F14">
        <v>0</v>
      </c>
      <c r="G14" s="13" t="s">
        <v>89</v>
      </c>
    </row>
    <row r="15" spans="1:21" ht="15.75">
      <c r="A15" s="39" t="s">
        <v>11</v>
      </c>
      <c r="B15" s="44" t="s">
        <v>12</v>
      </c>
      <c r="C15" s="41" t="s">
        <v>91</v>
      </c>
      <c r="D15" s="44">
        <f>IF(IFERROR(SEARCH("Отсутствуют", C15), 0) &gt; 0, 5, IF(IFERROR(SEARCH("Наличие одного", C15), 0) &gt; 0, 3, IF(IFERROR(SEARCH("Наличие двух", C15), 0) &gt; 0, 0,)))</f>
        <v>3</v>
      </c>
      <c r="F15">
        <v>5</v>
      </c>
      <c r="G15" s="19" t="s">
        <v>90</v>
      </c>
    </row>
    <row r="16" spans="1:21" ht="15.75">
      <c r="A16" s="51"/>
      <c r="B16" s="52"/>
      <c r="C16" s="53"/>
      <c r="D16" s="52"/>
      <c r="F16">
        <v>3</v>
      </c>
      <c r="G16" s="13" t="s">
        <v>91</v>
      </c>
    </row>
    <row r="17" spans="1:7" ht="92.25" customHeight="1" thickBot="1">
      <c r="A17" s="40"/>
      <c r="B17" s="45"/>
      <c r="C17" s="43"/>
      <c r="D17" s="45"/>
      <c r="F17">
        <v>0</v>
      </c>
      <c r="G17" s="13" t="s">
        <v>92</v>
      </c>
    </row>
    <row r="18" spans="1:7" ht="15" customHeight="1" thickBot="1">
      <c r="A18" s="39" t="s">
        <v>13</v>
      </c>
      <c r="B18" s="44" t="s">
        <v>14</v>
      </c>
      <c r="C18" s="41" t="s">
        <v>93</v>
      </c>
      <c r="D18" s="44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>10</v>
      </c>
      <c r="F18">
        <v>10</v>
      </c>
      <c r="G18" s="13" t="s">
        <v>93</v>
      </c>
    </row>
    <row r="19" spans="1:7" ht="15" customHeight="1" thickBot="1">
      <c r="A19" s="51"/>
      <c r="B19" s="52"/>
      <c r="C19" s="53"/>
      <c r="D19" s="52"/>
      <c r="F19">
        <v>2</v>
      </c>
      <c r="G19" s="14" t="s">
        <v>94</v>
      </c>
    </row>
    <row r="20" spans="1:7" ht="57" customHeight="1" thickBot="1">
      <c r="A20" s="40"/>
      <c r="B20" s="45"/>
      <c r="C20" s="43"/>
      <c r="D20" s="45"/>
      <c r="F20">
        <v>0</v>
      </c>
      <c r="G20" s="13" t="s">
        <v>95</v>
      </c>
    </row>
    <row r="21" spans="1:7" ht="15.75">
      <c r="A21" s="39" t="s">
        <v>15</v>
      </c>
      <c r="B21" s="44" t="s">
        <v>16</v>
      </c>
      <c r="C21" s="41" t="s">
        <v>96</v>
      </c>
      <c r="D21" s="44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>5</v>
      </c>
      <c r="F21">
        <v>5</v>
      </c>
      <c r="G21" s="13" t="s">
        <v>96</v>
      </c>
    </row>
    <row r="22" spans="1:7" ht="42.75" customHeight="1" thickBot="1">
      <c r="A22" s="40"/>
      <c r="B22" s="45"/>
      <c r="C22" s="43"/>
      <c r="D22" s="45"/>
      <c r="F22">
        <v>0</v>
      </c>
      <c r="G22" s="13" t="s">
        <v>97</v>
      </c>
    </row>
    <row r="23" spans="1:7" ht="15.75">
      <c r="A23" s="39" t="s">
        <v>17</v>
      </c>
      <c r="B23" s="44" t="s">
        <v>18</v>
      </c>
      <c r="C23" s="41" t="s">
        <v>98</v>
      </c>
      <c r="D23" s="44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>5</v>
      </c>
      <c r="F23">
        <v>10</v>
      </c>
      <c r="G23" s="13" t="s">
        <v>19</v>
      </c>
    </row>
    <row r="24" spans="1:7" ht="15.75">
      <c r="A24" s="51"/>
      <c r="B24" s="52"/>
      <c r="C24" s="53"/>
      <c r="D24" s="52"/>
      <c r="F24">
        <v>5</v>
      </c>
      <c r="G24" s="13" t="s">
        <v>98</v>
      </c>
    </row>
    <row r="25" spans="1:7" ht="82.5" customHeight="1" thickBot="1">
      <c r="A25" s="40"/>
      <c r="B25" s="45"/>
      <c r="C25" s="43"/>
      <c r="D25" s="45"/>
      <c r="F25">
        <v>0</v>
      </c>
      <c r="G25" s="13" t="s">
        <v>99</v>
      </c>
    </row>
    <row r="26" spans="1:7" ht="15.75">
      <c r="A26" s="39" t="s">
        <v>20</v>
      </c>
      <c r="B26" s="44" t="s">
        <v>21</v>
      </c>
      <c r="C26" s="41" t="s">
        <v>22</v>
      </c>
      <c r="D26" s="44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>3</v>
      </c>
      <c r="F26">
        <v>3</v>
      </c>
      <c r="G26" s="13" t="s">
        <v>22</v>
      </c>
    </row>
    <row r="27" spans="1:7" ht="41.25" customHeight="1" thickBot="1">
      <c r="A27" s="40"/>
      <c r="B27" s="45"/>
      <c r="C27" s="43"/>
      <c r="D27" s="45"/>
      <c r="F27">
        <v>0</v>
      </c>
      <c r="G27" s="13" t="s">
        <v>100</v>
      </c>
    </row>
    <row r="28" spans="1:7" ht="15.75">
      <c r="A28" s="39" t="s">
        <v>23</v>
      </c>
      <c r="B28" s="44" t="s">
        <v>24</v>
      </c>
      <c r="C28" s="41" t="s">
        <v>102</v>
      </c>
      <c r="D28" s="44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>3</v>
      </c>
      <c r="F28">
        <v>5</v>
      </c>
      <c r="G28" s="13" t="s">
        <v>101</v>
      </c>
    </row>
    <row r="29" spans="1:7" ht="15.75">
      <c r="A29" s="51"/>
      <c r="B29" s="52"/>
      <c r="C29" s="53"/>
      <c r="D29" s="52"/>
      <c r="F29">
        <v>3</v>
      </c>
      <c r="G29" s="13" t="s">
        <v>102</v>
      </c>
    </row>
    <row r="30" spans="1:7" ht="61.5" customHeight="1" thickBot="1">
      <c r="A30" s="40"/>
      <c r="B30" s="45"/>
      <c r="C30" s="43"/>
      <c r="D30" s="45"/>
      <c r="F30">
        <v>0</v>
      </c>
      <c r="G30" s="13" t="s">
        <v>103</v>
      </c>
    </row>
    <row r="31" spans="1:7" ht="15.75">
      <c r="A31" s="39" t="s">
        <v>25</v>
      </c>
      <c r="B31" s="44" t="s">
        <v>26</v>
      </c>
      <c r="C31" s="41" t="s">
        <v>104</v>
      </c>
      <c r="D31" s="44">
        <f>IF(IFERROR(SEARCH("Отсутствуют нарушения ТБ", C31), 0) &gt; 0, 10, IF(IFERROR(SEARCH("Имелись нарушения ТБ", C31), 0) &gt; 0, 0, ))</f>
        <v>10</v>
      </c>
      <c r="F31">
        <v>10</v>
      </c>
      <c r="G31" s="13" t="s">
        <v>104</v>
      </c>
    </row>
    <row r="32" spans="1:7" ht="33.75" customHeight="1" thickBot="1">
      <c r="A32" s="40"/>
      <c r="B32" s="45"/>
      <c r="C32" s="43"/>
      <c r="D32" s="45"/>
      <c r="F32">
        <v>0</v>
      </c>
      <c r="G32" s="13" t="s">
        <v>105</v>
      </c>
    </row>
    <row r="33" spans="1:7" ht="15.75">
      <c r="A33" s="39" t="s">
        <v>27</v>
      </c>
      <c r="B33" s="44" t="s">
        <v>28</v>
      </c>
      <c r="C33" s="41" t="s">
        <v>52</v>
      </c>
      <c r="D33" s="44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>10</v>
      </c>
      <c r="F33">
        <v>10</v>
      </c>
      <c r="G33" s="13" t="s">
        <v>52</v>
      </c>
    </row>
    <row r="34" spans="1:7" ht="15.75">
      <c r="A34" s="51"/>
      <c r="B34" s="52"/>
      <c r="C34" s="53"/>
      <c r="D34" s="52"/>
      <c r="F34">
        <v>5</v>
      </c>
      <c r="G34" s="13" t="s">
        <v>106</v>
      </c>
    </row>
    <row r="35" spans="1:7" ht="18" customHeight="1" thickBot="1">
      <c r="A35" s="40"/>
      <c r="B35" s="45"/>
      <c r="C35" s="43"/>
      <c r="D35" s="45"/>
      <c r="F35">
        <v>0</v>
      </c>
      <c r="G35" s="13" t="s">
        <v>107</v>
      </c>
    </row>
    <row r="36" spans="1:7" ht="15.75">
      <c r="A36" s="39" t="s">
        <v>29</v>
      </c>
      <c r="B36" s="44" t="s">
        <v>30</v>
      </c>
      <c r="C36" s="41" t="s">
        <v>31</v>
      </c>
      <c r="D36" s="44">
        <f>IF(IFERROR(SEARCH("Материальные средства ", C36), 0) &gt; 0, 5, IF(IFERROR(SEARCH("Не выполнены ", C36), 0) &gt; 0, 0, ))</f>
        <v>5</v>
      </c>
      <c r="F36">
        <v>5</v>
      </c>
      <c r="G36" s="13" t="s">
        <v>31</v>
      </c>
    </row>
    <row r="37" spans="1:7" ht="45" customHeight="1" thickBot="1">
      <c r="A37" s="40"/>
      <c r="B37" s="45"/>
      <c r="C37" s="43"/>
      <c r="D37" s="45"/>
      <c r="F37">
        <v>0</v>
      </c>
      <c r="G37" s="13" t="s">
        <v>110</v>
      </c>
    </row>
    <row r="38" spans="1:7" ht="15.75">
      <c r="A38" s="39" t="s">
        <v>32</v>
      </c>
      <c r="B38" s="44" t="s">
        <v>33</v>
      </c>
      <c r="C38" s="41" t="s">
        <v>108</v>
      </c>
      <c r="D38" s="44">
        <f>IF(IFERROR(SEARCH("5", C38), 0) &gt; 0, 2, IF(IFERROR(SEARCH("4", C38), 0) &gt; 0, 1, ))</f>
        <v>2</v>
      </c>
      <c r="F38">
        <v>2</v>
      </c>
      <c r="G38" s="13" t="s">
        <v>108</v>
      </c>
    </row>
    <row r="39" spans="1:7" ht="103.5" customHeight="1" thickBot="1">
      <c r="A39" s="40"/>
      <c r="B39" s="45"/>
      <c r="C39" s="43"/>
      <c r="D39" s="45"/>
      <c r="F39">
        <v>1</v>
      </c>
      <c r="G39" s="13" t="s">
        <v>109</v>
      </c>
    </row>
    <row r="40" spans="1:7">
      <c r="A40" s="46" t="s">
        <v>34</v>
      </c>
      <c r="B40" s="47"/>
      <c r="C40" s="66"/>
      <c r="D40" s="68">
        <f>SUM(D7:D39)</f>
        <v>64</v>
      </c>
      <c r="E40" s="65"/>
    </row>
    <row r="41" spans="1:7" ht="15.75" thickBot="1">
      <c r="A41" s="48"/>
      <c r="B41" s="49"/>
      <c r="C41" s="67"/>
      <c r="D41" s="69"/>
      <c r="E41" s="65"/>
    </row>
    <row r="43" spans="1:7" ht="20.25">
      <c r="A43" s="37" t="s">
        <v>35</v>
      </c>
      <c r="B43" s="37"/>
      <c r="C43" s="37"/>
      <c r="D43" s="5"/>
      <c r="E43" s="5"/>
    </row>
    <row r="44" spans="1:7" ht="20.25">
      <c r="A44" s="37"/>
      <c r="B44" s="37"/>
      <c r="C44" s="37"/>
      <c r="D44" s="6"/>
      <c r="E44" s="6"/>
    </row>
    <row r="45" spans="1:7" ht="20.25">
      <c r="A45" s="5"/>
      <c r="B45" s="5"/>
      <c r="C45" s="5" t="s">
        <v>36</v>
      </c>
      <c r="D45" s="5"/>
      <c r="E45" s="5"/>
    </row>
    <row r="46" spans="1:7" ht="20.25">
      <c r="A46" s="5"/>
      <c r="B46" s="5"/>
      <c r="C46" s="7" t="s">
        <v>37</v>
      </c>
    </row>
  </sheetData>
  <mergeCells count="63">
    <mergeCell ref="A1:E1"/>
    <mergeCell ref="A2:E2"/>
    <mergeCell ref="A3:E3"/>
    <mergeCell ref="A4:E4"/>
    <mergeCell ref="B5:B6"/>
    <mergeCell ref="C5:C6"/>
    <mergeCell ref="D5:D6"/>
    <mergeCell ref="A7:A9"/>
    <mergeCell ref="B7:B9"/>
    <mergeCell ref="C7:C9"/>
    <mergeCell ref="D7:D9"/>
    <mergeCell ref="A10:A11"/>
    <mergeCell ref="B10:B11"/>
    <mergeCell ref="C10:C11"/>
    <mergeCell ref="D10:D11"/>
    <mergeCell ref="A12:A14"/>
    <mergeCell ref="B12:B14"/>
    <mergeCell ref="C12:C14"/>
    <mergeCell ref="D12:D14"/>
    <mergeCell ref="A15:A17"/>
    <mergeCell ref="B15:B17"/>
    <mergeCell ref="C15:C17"/>
    <mergeCell ref="D15:D17"/>
    <mergeCell ref="A18:A20"/>
    <mergeCell ref="B18:B20"/>
    <mergeCell ref="C18:C20"/>
    <mergeCell ref="D18:D20"/>
    <mergeCell ref="A21:A22"/>
    <mergeCell ref="B21:B22"/>
    <mergeCell ref="C21:C22"/>
    <mergeCell ref="D21:D22"/>
    <mergeCell ref="A23:A25"/>
    <mergeCell ref="B23:B25"/>
    <mergeCell ref="C23:C25"/>
    <mergeCell ref="D23:D25"/>
    <mergeCell ref="A26:A27"/>
    <mergeCell ref="B26:B27"/>
    <mergeCell ref="C26:C27"/>
    <mergeCell ref="D26:D27"/>
    <mergeCell ref="A28:A30"/>
    <mergeCell ref="B28:B30"/>
    <mergeCell ref="C28:C30"/>
    <mergeCell ref="D28:D30"/>
    <mergeCell ref="A31:A32"/>
    <mergeCell ref="B31:B32"/>
    <mergeCell ref="C31:C32"/>
    <mergeCell ref="D31:D32"/>
    <mergeCell ref="A33:A35"/>
    <mergeCell ref="B33:B35"/>
    <mergeCell ref="C33:C35"/>
    <mergeCell ref="D33:D35"/>
    <mergeCell ref="A36:A37"/>
    <mergeCell ref="B36:B37"/>
    <mergeCell ref="C36:C37"/>
    <mergeCell ref="D36:D37"/>
    <mergeCell ref="E40:E41"/>
    <mergeCell ref="A43:C44"/>
    <mergeCell ref="A38:A39"/>
    <mergeCell ref="B38:B39"/>
    <mergeCell ref="C38:C39"/>
    <mergeCell ref="D38:D39"/>
    <mergeCell ref="A40:C41"/>
    <mergeCell ref="D40:D41"/>
  </mergeCells>
  <dataValidations count="13">
    <dataValidation type="list" allowBlank="1" showInputMessage="1" showErrorMessage="1" sqref="C7:C9">
      <formula1>$G$7:$G$9</formula1>
    </dataValidation>
    <dataValidation type="list" allowBlank="1" showInputMessage="1" showErrorMessage="1" sqref="C10:C11">
      <formula1>$G$10:$G$11</formula1>
    </dataValidation>
    <dataValidation type="list" allowBlank="1" showInputMessage="1" showErrorMessage="1" sqref="C12:C14">
      <formula1>$G$12:$G$14</formula1>
    </dataValidation>
    <dataValidation type="list" allowBlank="1" showInputMessage="1" showErrorMessage="1" sqref="C15:C17">
      <formula1>$G$15:$G$17</formula1>
    </dataValidation>
    <dataValidation type="list" allowBlank="1" showInputMessage="1" showErrorMessage="1" sqref="C18:C20">
      <formula1>$G$18:$G$20</formula1>
    </dataValidation>
    <dataValidation type="list" allowBlank="1" showInputMessage="1" showErrorMessage="1" sqref="C21:C22">
      <formula1>$G$21:$G$22</formula1>
    </dataValidation>
    <dataValidation type="list" allowBlank="1" showInputMessage="1" showErrorMessage="1" sqref="C23:C25">
      <formula1>$G$23:$G$25</formula1>
    </dataValidation>
    <dataValidation type="list" allowBlank="1" showInputMessage="1" showErrorMessage="1" sqref="C26:C27">
      <formula1>$G$26:$G$27</formula1>
    </dataValidation>
    <dataValidation type="list" allowBlank="1" showInputMessage="1" showErrorMessage="1" sqref="C28:C30">
      <formula1>$G$28:$G$30</formula1>
    </dataValidation>
    <dataValidation type="list" allowBlank="1" showInputMessage="1" showErrorMessage="1" sqref="C31:C32">
      <formula1>$G$31:$G$32</formula1>
    </dataValidation>
    <dataValidation type="list" allowBlank="1" showInputMessage="1" showErrorMessage="1" sqref="C33:C35">
      <formula1>$G$33:$G$35</formula1>
    </dataValidation>
    <dataValidation type="list" allowBlank="1" showInputMessage="1" showErrorMessage="1" sqref="C36:C37">
      <formula1>$G$36:$G$37</formula1>
    </dataValidation>
    <dataValidation type="list" allowBlank="1" showInputMessage="1" showErrorMessage="1" sqref="C38:C39">
      <formula1>$G$38:$G$39</formula1>
    </dataValidation>
  </dataValidation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sheetPr>
    <tabColor rgb="FFFF0000"/>
  </sheetPr>
  <dimension ref="A1:L56"/>
  <sheetViews>
    <sheetView zoomScale="70" zoomScaleNormal="70" workbookViewId="0">
      <selection activeCell="G1" sqref="G1:L1048576"/>
    </sheetView>
  </sheetViews>
  <sheetFormatPr defaultRowHeight="15"/>
  <cols>
    <col min="2" max="2" width="26" customWidth="1"/>
    <col min="3" max="3" width="58.5703125" customWidth="1"/>
    <col min="4" max="4" width="28.5703125" customWidth="1"/>
    <col min="5" max="5" width="0.140625" customWidth="1"/>
    <col min="6" max="6" width="0.42578125" customWidth="1"/>
    <col min="7" max="11" width="9.140625" hidden="1" customWidth="1"/>
    <col min="12" max="12" width="12" hidden="1" customWidth="1"/>
    <col min="13" max="13" width="9.140625" customWidth="1"/>
  </cols>
  <sheetData>
    <row r="1" spans="1:12" ht="20.25">
      <c r="A1" s="56" t="s">
        <v>0</v>
      </c>
      <c r="B1" s="56"/>
      <c r="C1" s="56"/>
      <c r="D1" s="56"/>
      <c r="E1" s="56"/>
    </row>
    <row r="2" spans="1:12" ht="18.75">
      <c r="A2" s="57" t="s">
        <v>1</v>
      </c>
      <c r="B2" s="57"/>
      <c r="C2" s="57"/>
      <c r="D2" s="57"/>
      <c r="E2" s="57"/>
    </row>
    <row r="3" spans="1:12" ht="18.75" customHeight="1">
      <c r="A3" s="58" t="s">
        <v>38</v>
      </c>
      <c r="B3" s="57"/>
      <c r="C3" s="57"/>
      <c r="D3" s="57"/>
      <c r="E3" s="57"/>
    </row>
    <row r="4" spans="1:12" ht="16.5" thickBot="1">
      <c r="A4" s="59"/>
      <c r="B4" s="59"/>
      <c r="C4" s="59"/>
      <c r="D4" s="59"/>
      <c r="E4" s="59"/>
    </row>
    <row r="5" spans="1:12" ht="15.75" customHeight="1">
      <c r="A5" s="1" t="s">
        <v>3</v>
      </c>
      <c r="B5" s="60" t="s">
        <v>54</v>
      </c>
      <c r="C5" s="60" t="s">
        <v>55</v>
      </c>
      <c r="D5" s="60" t="s">
        <v>42</v>
      </c>
    </row>
    <row r="6" spans="1:12" ht="16.5" thickBot="1">
      <c r="A6" s="3" t="s">
        <v>4</v>
      </c>
      <c r="B6" s="61"/>
      <c r="C6" s="61"/>
      <c r="D6" s="61"/>
    </row>
    <row r="7" spans="1:12" ht="15" customHeight="1">
      <c r="A7" s="39" t="s">
        <v>5</v>
      </c>
      <c r="B7" s="44" t="s">
        <v>6</v>
      </c>
      <c r="C7" s="44" t="s">
        <v>343</v>
      </c>
      <c r="D7" s="44">
        <f>IF(IFERROR(SEARCH("подразделения ≥ 4,5", C7), 0) &gt; 0, 5, IF(IFERROR(SEARCH("подразделения ≥ 4,0", C7), 0) &gt; 0, 3, IF(IFERROR(SEARCH("&lt;", C7), 0) &gt; 0, 0,)))</f>
        <v>3</v>
      </c>
      <c r="F7">
        <v>5</v>
      </c>
      <c r="G7" s="16" t="s">
        <v>344</v>
      </c>
    </row>
    <row r="8" spans="1:12" ht="15" customHeight="1">
      <c r="A8" s="51"/>
      <c r="B8" s="54"/>
      <c r="C8" s="52"/>
      <c r="D8" s="52"/>
      <c r="F8">
        <v>3</v>
      </c>
      <c r="G8" s="17" t="s">
        <v>343</v>
      </c>
    </row>
    <row r="9" spans="1:12" ht="18.75" customHeight="1" thickBot="1">
      <c r="A9" s="40"/>
      <c r="B9" s="55"/>
      <c r="C9" s="45"/>
      <c r="D9" s="45"/>
      <c r="F9">
        <v>0</v>
      </c>
      <c r="G9" s="18" t="s">
        <v>345</v>
      </c>
    </row>
    <row r="10" spans="1:12" ht="15" customHeight="1">
      <c r="A10" s="39" t="s">
        <v>7</v>
      </c>
      <c r="B10" s="44" t="s">
        <v>8</v>
      </c>
      <c r="C10" s="44" t="s">
        <v>259</v>
      </c>
      <c r="D10" s="44">
        <f>IF(C10="Академические задолжности отсутствуют",10,0)</f>
        <v>10</v>
      </c>
      <c r="F10">
        <v>10</v>
      </c>
    </row>
    <row r="11" spans="1:12" ht="15.75" customHeight="1" thickBot="1">
      <c r="A11" s="40"/>
      <c r="B11" s="45"/>
      <c r="C11" s="45"/>
      <c r="D11" s="45"/>
      <c r="F11">
        <v>0</v>
      </c>
    </row>
    <row r="12" spans="1:12" ht="15" customHeight="1">
      <c r="A12" s="39" t="s">
        <v>9</v>
      </c>
      <c r="B12" s="44" t="s">
        <v>10</v>
      </c>
      <c r="C12" s="44" t="s">
        <v>266</v>
      </c>
      <c r="D12" s="44">
        <f>IF(C12="В подразделении и у КУГ отсутствуют текущие задолжности",5,IF(C12="Имеются менее 20% текущих задолжностей в подразделении или у КУГ",3,IF(C12="Имеются более 20% текущих задолжностей в подразделении или у КУГ",0,)))</f>
        <v>5</v>
      </c>
      <c r="F12">
        <v>5</v>
      </c>
    </row>
    <row r="13" spans="1:12" ht="15" customHeight="1">
      <c r="A13" s="51"/>
      <c r="B13" s="52"/>
      <c r="C13" s="52"/>
      <c r="D13" s="52"/>
      <c r="F13">
        <v>3</v>
      </c>
    </row>
    <row r="14" spans="1:12" ht="15.75" customHeight="1" thickBot="1">
      <c r="A14" s="40"/>
      <c r="B14" s="45"/>
      <c r="C14" s="45"/>
      <c r="D14" s="45"/>
      <c r="F14">
        <v>0</v>
      </c>
    </row>
    <row r="15" spans="1:12" ht="15" customHeight="1">
      <c r="A15" s="39" t="s">
        <v>11</v>
      </c>
      <c r="B15" s="44" t="s">
        <v>39</v>
      </c>
      <c r="C15" s="64" t="s">
        <v>40</v>
      </c>
      <c r="D15" s="44">
        <f>IF(C15="Подразделение прибыло на занятие своевременно; дежурный по аудитории назначен; ЖУУЗ и классная доска оформлены; литература, конспекты, ПЭВМ (по необходимости) получены; внутренний порядок в аудитории поддерживается",5,IF(C15="Подразделение прибыло на занятие своевременно; дежурный по аудитории назначен; литература, конспекты, ПЭВМ (по необходимости) получены; ЖУУЗ или классная доска оформлены не своевременно; или имеются отклонения по  внутреннему порядку в аудитории",3,IF(C15="одразделение опоздало на занятие; или ЖУУЗ и классная доска не оформлены; литература, конспекты, ПЭВМ (по необходимости) не получены; или внутренний порядок в аудитории не поддерживается ",0,)))</f>
        <v>5</v>
      </c>
      <c r="F15">
        <v>5</v>
      </c>
      <c r="L15" s="13" t="s">
        <v>40</v>
      </c>
    </row>
    <row r="16" spans="1:12" ht="15" customHeight="1">
      <c r="A16" s="51"/>
      <c r="B16" s="52"/>
      <c r="C16" s="62"/>
      <c r="D16" s="52"/>
      <c r="F16">
        <v>3</v>
      </c>
      <c r="L16" s="13" t="s">
        <v>77</v>
      </c>
    </row>
    <row r="17" spans="1:12" ht="52.5" customHeight="1" thickBot="1">
      <c r="A17" s="40"/>
      <c r="B17" s="45"/>
      <c r="C17" s="63"/>
      <c r="D17" s="45"/>
      <c r="F17">
        <v>0</v>
      </c>
      <c r="L17" t="s">
        <v>78</v>
      </c>
    </row>
    <row r="18" spans="1:12" ht="15" customHeight="1" thickBot="1">
      <c r="A18" s="39" t="s">
        <v>13</v>
      </c>
      <c r="B18" s="44" t="s">
        <v>41</v>
      </c>
      <c r="C18" s="64" t="s">
        <v>80</v>
      </c>
      <c r="D18" s="44">
        <f>IF(IFERROR(SEARCH("30%", C18), 0) &gt; 0, 5, IF(IFERROR(SEARCH("10%", C18), 0) &gt; 0, 3, IF(IFERROR(SEARCH("не получены", C18), 0) &gt; 0, 0,)))</f>
        <v>3</v>
      </c>
      <c r="F18">
        <v>10</v>
      </c>
      <c r="L18" s="14" t="s">
        <v>79</v>
      </c>
    </row>
    <row r="19" spans="1:12" ht="15" customHeight="1">
      <c r="A19" s="51"/>
      <c r="B19" s="52"/>
      <c r="C19" s="62"/>
      <c r="D19" s="52"/>
      <c r="F19">
        <v>2</v>
      </c>
      <c r="L19" s="13" t="s">
        <v>80</v>
      </c>
    </row>
    <row r="20" spans="1:12" ht="105" customHeight="1" thickBot="1">
      <c r="A20" s="40"/>
      <c r="B20" s="45"/>
      <c r="C20" s="63"/>
      <c r="D20" s="45"/>
      <c r="F20">
        <v>0</v>
      </c>
      <c r="L20" s="13" t="s">
        <v>81</v>
      </c>
    </row>
    <row r="21" spans="1:12" ht="15" customHeight="1">
      <c r="A21" s="39" t="s">
        <v>15</v>
      </c>
      <c r="B21" s="44" t="s">
        <v>12</v>
      </c>
      <c r="C21" s="41" t="s">
        <v>73</v>
      </c>
      <c r="D21" s="44">
        <f>IF(C21="Замечания в подразделении и у КУГ отсутствуют",5,IF(C21="В подразделении 2 замечания у КУГ отсутствуют",3,IF(C21="В подразделении 3 и более замечаний или замечания у КУГ",0,)))</f>
        <v>5</v>
      </c>
      <c r="F21">
        <v>5</v>
      </c>
    </row>
    <row r="22" spans="1:12" ht="15.75" customHeight="1">
      <c r="A22" s="51"/>
      <c r="B22" s="52"/>
      <c r="C22" s="53"/>
      <c r="D22" s="52"/>
      <c r="F22">
        <v>0</v>
      </c>
    </row>
    <row r="23" spans="1:12" ht="82.5" customHeight="1" thickBot="1">
      <c r="A23" s="40"/>
      <c r="B23" s="45"/>
      <c r="C23" s="43"/>
      <c r="D23" s="45"/>
      <c r="F23">
        <v>10</v>
      </c>
    </row>
    <row r="24" spans="1:12" ht="15" customHeight="1">
      <c r="A24" s="39" t="s">
        <v>17</v>
      </c>
      <c r="B24" s="44" t="s">
        <v>14</v>
      </c>
      <c r="C24" s="41" t="s">
        <v>262</v>
      </c>
      <c r="D24" s="44">
        <f>IF(C24="ПРО, ПРЕ, ГДП в подразделении и КУГ отсутствуют",10,IF(C24="ПРО, ПРЕ отсутствуют, имеются не снятые взыскания за ГДП в подразделении, у КУГ отсутствуют",2,IF(C24="Совершено ПРО, ПРЕ, ГДП в подразделении или КУГ или допущено сокрытие",0,)))</f>
        <v>10</v>
      </c>
      <c r="F24">
        <v>5</v>
      </c>
    </row>
    <row r="25" spans="1:12" ht="15.75" customHeight="1">
      <c r="A25" s="51"/>
      <c r="B25" s="52"/>
      <c r="C25" s="53"/>
      <c r="D25" s="52"/>
      <c r="F25">
        <v>0</v>
      </c>
    </row>
    <row r="26" spans="1:12" ht="52.5" customHeight="1" thickBot="1">
      <c r="A26" s="40"/>
      <c r="B26" s="45"/>
      <c r="C26" s="43"/>
      <c r="D26" s="45"/>
      <c r="F26">
        <v>3</v>
      </c>
    </row>
    <row r="27" spans="1:12" ht="15.75" customHeight="1">
      <c r="A27" s="39" t="s">
        <v>20</v>
      </c>
      <c r="B27" s="44" t="s">
        <v>16</v>
      </c>
      <c r="C27" s="41" t="s">
        <v>57</v>
      </c>
      <c r="D27" s="44">
        <f>IF(C27="Дисциплинарная практика к подчиненному личному составу ведется",5,0)</f>
        <v>5</v>
      </c>
      <c r="F27">
        <v>0</v>
      </c>
    </row>
    <row r="28" spans="1:12" ht="15" customHeight="1" thickBot="1">
      <c r="A28" s="40"/>
      <c r="B28" s="45"/>
      <c r="C28" s="43"/>
      <c r="D28" s="45"/>
      <c r="F28">
        <v>5</v>
      </c>
    </row>
    <row r="29" spans="1:12" ht="15" customHeight="1">
      <c r="A29" s="39" t="s">
        <v>23</v>
      </c>
      <c r="B29" s="44" t="s">
        <v>18</v>
      </c>
      <c r="C29" s="41" t="s">
        <v>60</v>
      </c>
      <c r="D29" s="44">
        <f>IF(C29="Обстановкой владеет, доклады представляет, книжка сержантов актуальна",10,IF(C29="Обстановкой владеет, доклады представляет, книжка сержантов не актуальна",5,IF(C29="Обстановкой не владеет, доклады не представляет, книжка сержантов не актуальна",0,)))</f>
        <v>10</v>
      </c>
      <c r="F29">
        <v>3</v>
      </c>
    </row>
    <row r="30" spans="1:12" ht="15.75" customHeight="1">
      <c r="A30" s="51"/>
      <c r="B30" s="52"/>
      <c r="C30" s="53"/>
      <c r="D30" s="52"/>
      <c r="F30">
        <v>0</v>
      </c>
    </row>
    <row r="31" spans="1:12" ht="105" customHeight="1" thickBot="1">
      <c r="A31" s="40"/>
      <c r="B31" s="45"/>
      <c r="C31" s="43"/>
      <c r="D31" s="45"/>
      <c r="F31">
        <v>10</v>
      </c>
    </row>
    <row r="32" spans="1:12" ht="26.25" customHeight="1">
      <c r="A32" s="39" t="s">
        <v>25</v>
      </c>
      <c r="B32" s="44" t="s">
        <v>21</v>
      </c>
      <c r="C32" s="41" t="s">
        <v>75</v>
      </c>
      <c r="D32" s="44">
        <f>IF(C32="Подведение итогов актуально, поставлены конкретные задачи и проводится в установленное время",3,0)</f>
        <v>3</v>
      </c>
      <c r="F32">
        <v>0</v>
      </c>
    </row>
    <row r="33" spans="1:6" ht="30" customHeight="1" thickBot="1">
      <c r="A33" s="40"/>
      <c r="B33" s="45"/>
      <c r="C33" s="43"/>
      <c r="D33" s="45"/>
      <c r="F33">
        <v>10</v>
      </c>
    </row>
    <row r="34" spans="1:6" ht="15" customHeight="1">
      <c r="A34" s="51" t="s">
        <v>27</v>
      </c>
      <c r="B34" s="52" t="s">
        <v>43</v>
      </c>
      <c r="C34" s="41" t="s">
        <v>263</v>
      </c>
      <c r="D34" s="62">
        <f>IF(C34="Увольнения распределены равномерно",2,0)</f>
        <v>2</v>
      </c>
      <c r="F34">
        <v>5</v>
      </c>
    </row>
    <row r="35" spans="1:6" ht="15.75" customHeight="1" thickBot="1">
      <c r="A35" s="40"/>
      <c r="B35" s="45"/>
      <c r="C35" s="43"/>
      <c r="D35" s="63"/>
      <c r="F35">
        <v>0</v>
      </c>
    </row>
    <row r="36" spans="1:6" ht="15" customHeight="1">
      <c r="A36" s="39" t="s">
        <v>29</v>
      </c>
      <c r="B36" s="44" t="s">
        <v>44</v>
      </c>
      <c r="C36" s="44" t="s">
        <v>61</v>
      </c>
      <c r="D36" s="64">
        <f>IF(C36="Наряды и уборщики распределены равномерно",2,IF(C36="Наряды распределены равномерно, уборщики не равномерно",1,IF(C36="Наряды и уборщики распределены не равномерно",0,)))</f>
        <v>2</v>
      </c>
      <c r="F36">
        <v>5</v>
      </c>
    </row>
    <row r="37" spans="1:6" ht="15.75" customHeight="1">
      <c r="A37" s="51"/>
      <c r="B37" s="52"/>
      <c r="C37" s="52"/>
      <c r="D37" s="62"/>
      <c r="F37">
        <v>0</v>
      </c>
    </row>
    <row r="38" spans="1:6" ht="38.25" customHeight="1" thickBot="1">
      <c r="A38" s="40"/>
      <c r="B38" s="45"/>
      <c r="C38" s="45"/>
      <c r="D38" s="63"/>
      <c r="F38">
        <v>2</v>
      </c>
    </row>
    <row r="39" spans="1:6" ht="15.75" customHeight="1">
      <c r="A39" s="39" t="s">
        <v>32</v>
      </c>
      <c r="B39" s="44" t="s">
        <v>24</v>
      </c>
      <c r="C39" s="41" t="s">
        <v>264</v>
      </c>
      <c r="D39" s="44">
        <f>IF(C39="Замечания у подчиненного л/с отсутствуют, КУГ оценен не ниже «хорошо»",5,IF(C39="Выявлено не более 2 замечаний у подчиненного л/с, КУГ оценен не ниже «хорошо»",3,IF(C39="Л/с отстранен или выявлено более 2 замечаний, КУГ оценен ниже «хорошо»",0,)))</f>
        <v>5</v>
      </c>
      <c r="F39">
        <v>1</v>
      </c>
    </row>
    <row r="40" spans="1:6" ht="15" customHeight="1">
      <c r="A40" s="51"/>
      <c r="B40" s="52"/>
      <c r="C40" s="53"/>
      <c r="D40" s="52"/>
    </row>
    <row r="41" spans="1:6" ht="40.5" customHeight="1" thickBot="1">
      <c r="A41" s="40"/>
      <c r="B41" s="45"/>
      <c r="C41" s="43"/>
      <c r="D41" s="45"/>
    </row>
    <row r="42" spans="1:6">
      <c r="A42" s="39" t="s">
        <v>45</v>
      </c>
      <c r="B42" s="44" t="s">
        <v>26</v>
      </c>
      <c r="C42" s="41" t="s">
        <v>65</v>
      </c>
      <c r="D42" s="44">
        <f>IF(C42="Нарушений ТБ, приведших к травматизму л/с нет",10,0)</f>
        <v>10</v>
      </c>
    </row>
    <row r="43" spans="1:6" ht="44.25" customHeight="1" thickBot="1">
      <c r="A43" s="40"/>
      <c r="B43" s="45"/>
      <c r="C43" s="43"/>
      <c r="D43" s="45"/>
    </row>
    <row r="44" spans="1:6">
      <c r="A44" s="39" t="s">
        <v>46</v>
      </c>
      <c r="B44" s="44" t="s">
        <v>28</v>
      </c>
      <c r="C44" s="41" t="s">
        <v>52</v>
      </c>
      <c r="D44" s="44">
        <f>IF(C44="Элементы распорядка дня соблюдаются",10,IF(C44="Не более пяти нарушений распорядка дня, срывов мероприятий не допущено",5,IF(C44="Более пяти нарушений элементов распорядка дня или мероприятие сорвано",0,)))</f>
        <v>10</v>
      </c>
    </row>
    <row r="45" spans="1:6">
      <c r="A45" s="51"/>
      <c r="B45" s="52"/>
      <c r="C45" s="53"/>
      <c r="D45" s="52"/>
    </row>
    <row r="46" spans="1:6" ht="15.75" thickBot="1">
      <c r="A46" s="40"/>
      <c r="B46" s="45"/>
      <c r="C46" s="43"/>
      <c r="D46" s="45"/>
    </row>
    <row r="47" spans="1:6">
      <c r="A47" s="39" t="s">
        <v>47</v>
      </c>
      <c r="B47" s="44" t="s">
        <v>30</v>
      </c>
      <c r="C47" s="41" t="s">
        <v>31</v>
      </c>
      <c r="D47" s="44">
        <f>IF(C47="Материальные средства подразделения в наличии, исправны, обслужены, хранятся правильно",5,0)</f>
        <v>5</v>
      </c>
    </row>
    <row r="48" spans="1:6" ht="45" customHeight="1" thickBot="1">
      <c r="A48" s="40"/>
      <c r="B48" s="45"/>
      <c r="C48" s="43"/>
      <c r="D48" s="45"/>
    </row>
    <row r="49" spans="1:5">
      <c r="A49" s="39" t="s">
        <v>48</v>
      </c>
      <c r="B49" s="44" t="s">
        <v>33</v>
      </c>
      <c r="C49" s="41" t="s">
        <v>68</v>
      </c>
      <c r="D49" s="44">
        <f>IF(C49="Оценка по физической подготовке (культуре) - 5",2,1)</f>
        <v>1</v>
      </c>
    </row>
    <row r="50" spans="1:5" ht="97.5" customHeight="1" thickBot="1">
      <c r="A50" s="40"/>
      <c r="B50" s="45"/>
      <c r="C50" s="43"/>
      <c r="D50" s="45"/>
    </row>
    <row r="51" spans="1:5" ht="15.75">
      <c r="A51" s="46" t="s">
        <v>34</v>
      </c>
      <c r="B51" s="47"/>
      <c r="C51" s="47"/>
      <c r="D51" s="50">
        <f>SUM(D7:D50)</f>
        <v>94</v>
      </c>
      <c r="E51" s="8"/>
    </row>
    <row r="52" spans="1:5" ht="16.5" thickBot="1">
      <c r="A52" s="48"/>
      <c r="B52" s="49"/>
      <c r="C52" s="49"/>
      <c r="D52" s="42"/>
      <c r="E52" s="8"/>
    </row>
    <row r="54" spans="1:5" ht="20.25">
      <c r="A54" s="37" t="s">
        <v>35</v>
      </c>
      <c r="B54" s="37"/>
      <c r="C54" s="37"/>
      <c r="D54" s="37"/>
      <c r="E54" s="37"/>
    </row>
    <row r="55" spans="1:5" ht="20.25">
      <c r="A55" s="38" t="s">
        <v>36</v>
      </c>
      <c r="B55" s="38"/>
      <c r="C55" s="38"/>
      <c r="D55" s="38"/>
      <c r="E55" s="38"/>
    </row>
    <row r="56" spans="1:5" ht="21">
      <c r="A56" s="9"/>
      <c r="B56" s="9"/>
      <c r="C56" s="10" t="s">
        <v>37</v>
      </c>
      <c r="D56" s="5"/>
      <c r="E56" s="9"/>
    </row>
  </sheetData>
  <mergeCells count="79">
    <mergeCell ref="A51:C52"/>
    <mergeCell ref="D51:D52"/>
    <mergeCell ref="A54:E54"/>
    <mergeCell ref="A55:E55"/>
    <mergeCell ref="A47:A48"/>
    <mergeCell ref="B47:B48"/>
    <mergeCell ref="C47:C48"/>
    <mergeCell ref="D47:D48"/>
    <mergeCell ref="A49:A50"/>
    <mergeCell ref="B49:B50"/>
    <mergeCell ref="C49:C50"/>
    <mergeCell ref="D49:D50"/>
    <mergeCell ref="A42:A43"/>
    <mergeCell ref="B42:B43"/>
    <mergeCell ref="C42:C43"/>
    <mergeCell ref="D42:D43"/>
    <mergeCell ref="A44:A46"/>
    <mergeCell ref="B44:B46"/>
    <mergeCell ref="C44:C46"/>
    <mergeCell ref="D44:D46"/>
    <mergeCell ref="A29:A31"/>
    <mergeCell ref="B29:B31"/>
    <mergeCell ref="C29:C31"/>
    <mergeCell ref="D29:D31"/>
    <mergeCell ref="A32:A33"/>
    <mergeCell ref="B32:B33"/>
    <mergeCell ref="C32:C33"/>
    <mergeCell ref="D32:D33"/>
    <mergeCell ref="A39:A41"/>
    <mergeCell ref="B39:B41"/>
    <mergeCell ref="C39:C41"/>
    <mergeCell ref="D39:D41"/>
    <mergeCell ref="A34:A35"/>
    <mergeCell ref="B34:B35"/>
    <mergeCell ref="C34:C35"/>
    <mergeCell ref="D34:D35"/>
    <mergeCell ref="A36:A38"/>
    <mergeCell ref="B36:B38"/>
    <mergeCell ref="C36:C38"/>
    <mergeCell ref="D36:D38"/>
    <mergeCell ref="A27:A28"/>
    <mergeCell ref="B27:B28"/>
    <mergeCell ref="C27:C28"/>
    <mergeCell ref="D27:D28"/>
    <mergeCell ref="A18:A20"/>
    <mergeCell ref="B18:B20"/>
    <mergeCell ref="C18:C20"/>
    <mergeCell ref="D18:D20"/>
    <mergeCell ref="A21:A23"/>
    <mergeCell ref="B21:B23"/>
    <mergeCell ref="C21:C23"/>
    <mergeCell ref="D21:D23"/>
    <mergeCell ref="A24:A26"/>
    <mergeCell ref="B24:B26"/>
    <mergeCell ref="C24:C26"/>
    <mergeCell ref="D24:D26"/>
    <mergeCell ref="A12:A14"/>
    <mergeCell ref="B12:B14"/>
    <mergeCell ref="C12:C14"/>
    <mergeCell ref="D12:D14"/>
    <mergeCell ref="A15:A17"/>
    <mergeCell ref="B15:B17"/>
    <mergeCell ref="C15:C17"/>
    <mergeCell ref="D15:D17"/>
    <mergeCell ref="A7:A9"/>
    <mergeCell ref="B7:B9"/>
    <mergeCell ref="C7:C9"/>
    <mergeCell ref="D7:D9"/>
    <mergeCell ref="A10:A11"/>
    <mergeCell ref="B10:B11"/>
    <mergeCell ref="C10:C11"/>
    <mergeCell ref="D10:D11"/>
    <mergeCell ref="A1:E1"/>
    <mergeCell ref="A2:E2"/>
    <mergeCell ref="A3:E3"/>
    <mergeCell ref="A4:E4"/>
    <mergeCell ref="B5:B6"/>
    <mergeCell ref="C5:C6"/>
    <mergeCell ref="D5:D6"/>
  </mergeCells>
  <dataValidations count="17">
    <dataValidation type="list" allowBlank="1" showInputMessage="1" showErrorMessage="1" sqref="C7:C9">
      <formula1>$G$7:$G$9</formula1>
    </dataValidation>
    <dataValidation type="list" allowBlank="1" showInputMessage="1" showErrorMessage="1" sqref="C10:C11">
      <formula1>"Академические задолжности отсутствуют, Имеются академические задолжности в учебной группе или у КУГ"</formula1>
    </dataValidation>
    <dataValidation type="list" allowBlank="1" showInputMessage="1" showErrorMessage="1" sqref="C12:C14">
      <formula1>"В подразделении и у КУГ отсутствуют текущие задолжности,Имеются менее 20% текущих задолжностей в подразделении или у КУГ,Имеются более 20% текущих задолжностей в подразделении или у КУГ"</formula1>
    </dataValidation>
    <dataValidation type="list" allowBlank="1" showInputMessage="1" showErrorMessage="1" sqref="C15:C17">
      <formula1>$L$15:$L$17</formula1>
    </dataValidation>
    <dataValidation type="list" allowBlank="1" showInputMessage="1" showErrorMessage="1" sqref="C21:C23">
      <formula1>"Замечания в подразделении и у КУГ отсутствуют,В подразделении 2 замечания у КУГ отсутствуют,В подразделении 3 и более замечаний или замечания у КУГ"</formula1>
    </dataValidation>
    <dataValidation type="list" allowBlank="1" showInputMessage="1" showErrorMessage="1" sqref="C24:C26">
      <formula1>"ПРО, ПРЕ, ГДП в подразделении и КУГ отсутствуют, ПРО, ПРЕ отсутствуют, имеются не снятые взыскания за ГДП в подразделении, у КУГ отсутствуют, Совершено ПРО, ПРЕ, ГДП в подразделении или КУГ или допущено сокрытие"</formula1>
    </dataValidation>
    <dataValidation type="list" allowBlank="1" showInputMessage="1" showErrorMessage="1" sqref="C27:C28">
      <formula1>"Дисциплинарная практика к подчиненному личному составу ведется,Дисциплинарная практика к подчиненному личному составу не реализуется или КУГ имеет дисциплинарные взыскания"</formula1>
    </dataValidation>
    <dataValidation type="list" allowBlank="1" showInputMessage="1" showErrorMessage="1" sqref="C29:C31">
      <formula1>"Обстановкой владеет, доклады представляет, книжка сержантов актуальна,Обстановкой владеет, доклады представляет, книжка сержантов не актуальна,Обстановкой не владеет, доклады не представляет, книжка сержантов не актуальна"</formula1>
    </dataValidation>
    <dataValidation type="list" allowBlank="1" showInputMessage="1" showErrorMessage="1" sqref="C32:C33">
      <formula1>"Подведение итогов актуально, поставлены конкретные задачи и проводится в установленное время,Подведение итогов не актуально, не поставлены задачи или не проводится"</formula1>
    </dataValidation>
    <dataValidation type="list" allowBlank="1" showInputMessage="1" showErrorMessage="1" sqref="C34:C35">
      <formula1>"Увольнения распределены равномерно,Увольнения распределяются не равномерно"</formula1>
    </dataValidation>
    <dataValidation type="list" allowBlank="1" showInputMessage="1" showErrorMessage="1" sqref="C36:C38">
      <formula1>"Наряды и уборщики распределены равномерно,Наряды распределены равномерно, уборщики не равномерно,Наряды и уборщики распределены не равномерно"</formula1>
    </dataValidation>
    <dataValidation type="list" allowBlank="1" showInputMessage="1" showErrorMessage="1" sqref="C39:C41">
      <formula1>"Замечания у подчиненного л/с отсутствуют, КУГ оценен не ниже «хорошо»,Выявлено не более 2 замечаний у подчиненного л/с, КУГ оценен не ниже «хорошо»,Л/с отстранен или выявлено более 2 замечаний, КУГ оценен ниже «хорошо»,"</formula1>
    </dataValidation>
    <dataValidation type="list" allowBlank="1" showInputMessage="1" showErrorMessage="1" sqref="C42:C43">
      <formula1>"Нарушений ТБ, приведших к травматизму л/с нет,Есть нарушения ТБ, приведших к травматизму л/с"</formula1>
    </dataValidation>
    <dataValidation type="list" allowBlank="1" showInputMessage="1" showErrorMessage="1" sqref="C44:C46">
      <formula1>"Элементы распорядка дня соблюдаются,Не более пяти нарушений распорядка дня, срывов мероприятий не допущено,Более пяти нарушений элементов распорядка дня или мероприятие сорвано"</formula1>
    </dataValidation>
    <dataValidation type="list" allowBlank="1" showInputMessage="1" showErrorMessage="1" sqref="C47:C48">
      <formula1>"Материальные средства подразделения в наличии, исправны, обслужены, хранятся правильно,Не выполнены предъявляемые критерии "</formula1>
    </dataValidation>
    <dataValidation type="list" allowBlank="1" showInputMessage="1" showErrorMessage="1" sqref="C49:C50">
      <formula1>"Оценка по физической подготовке (культуре) - 5,Оценка по физической подготовке (культуре) - 4"</formula1>
    </dataValidation>
    <dataValidation type="list" allowBlank="1" showInputMessage="1" showErrorMessage="1" sqref="C18:C20">
      <formula1>$L$18:$L$20</formula1>
    </dataValidation>
  </dataValidations>
  <pageMargins left="0.7" right="0.7" top="0.75" bottom="0.75" header="0.3" footer="0.3"/>
  <pageSetup paperSize="9" orientation="portrait" verticalDpi="0" r:id="rId1"/>
</worksheet>
</file>

<file path=xl/worksheets/sheet59.xml><?xml version="1.0" encoding="utf-8"?>
<worksheet xmlns="http://schemas.openxmlformats.org/spreadsheetml/2006/main" xmlns:r="http://schemas.openxmlformats.org/officeDocument/2006/relationships">
  <sheetPr>
    <tabColor rgb="FFFF0000"/>
  </sheetPr>
  <dimension ref="A1:U46"/>
  <sheetViews>
    <sheetView topLeftCell="A25" zoomScale="85" zoomScaleNormal="85" workbookViewId="0">
      <selection activeCell="C15" sqref="C15:C17"/>
    </sheetView>
  </sheetViews>
  <sheetFormatPr defaultRowHeight="15"/>
  <cols>
    <col min="2" max="2" width="26" customWidth="1"/>
    <col min="3" max="3" width="58.5703125" customWidth="1"/>
    <col min="4" max="4" width="28.42578125" customWidth="1"/>
    <col min="5" max="5" width="24.140625" hidden="1" customWidth="1"/>
    <col min="6" max="6" width="24" hidden="1" customWidth="1"/>
    <col min="7" max="7" width="19.42578125" hidden="1" customWidth="1"/>
    <col min="8" max="8" width="18.42578125" customWidth="1"/>
  </cols>
  <sheetData>
    <row r="1" spans="1:21" ht="20.25">
      <c r="A1" s="56" t="s">
        <v>0</v>
      </c>
      <c r="B1" s="56"/>
      <c r="C1" s="56"/>
      <c r="D1" s="56"/>
      <c r="E1" s="56"/>
    </row>
    <row r="2" spans="1:21" ht="18.75">
      <c r="A2" s="57" t="s">
        <v>1</v>
      </c>
      <c r="B2" s="57"/>
      <c r="C2" s="57"/>
      <c r="D2" s="57"/>
      <c r="E2" s="57"/>
    </row>
    <row r="3" spans="1:21" ht="18.75" customHeight="1">
      <c r="A3" s="58" t="s">
        <v>269</v>
      </c>
      <c r="B3" s="57"/>
      <c r="C3" s="57"/>
      <c r="D3" s="57"/>
      <c r="E3" s="57"/>
    </row>
    <row r="4" spans="1:21" ht="16.5" thickBot="1">
      <c r="A4" s="59"/>
      <c r="B4" s="59"/>
      <c r="C4" s="59"/>
      <c r="D4" s="59"/>
      <c r="E4" s="59"/>
    </row>
    <row r="5" spans="1:21" ht="15.75">
      <c r="A5" s="2" t="s">
        <v>3</v>
      </c>
      <c r="B5" s="60" t="s">
        <v>54</v>
      </c>
      <c r="C5" s="60" t="s">
        <v>55</v>
      </c>
      <c r="D5" s="60" t="s">
        <v>42</v>
      </c>
    </row>
    <row r="6" spans="1:21" ht="16.5" thickBot="1">
      <c r="A6" s="4" t="s">
        <v>4</v>
      </c>
      <c r="B6" s="61"/>
      <c r="C6" s="61"/>
      <c r="D6" s="61"/>
    </row>
    <row r="7" spans="1:21" ht="13.5" customHeight="1">
      <c r="A7" s="39" t="s">
        <v>5</v>
      </c>
      <c r="B7" s="44" t="s">
        <v>6</v>
      </c>
      <c r="C7" s="44" t="s">
        <v>83</v>
      </c>
      <c r="D7" s="44">
        <f>IF(IFERROR(SEARCH("подразделения ≥ 4,5", C7), 0) &gt; 0, 5, IF(IFERROR(SEARCH("подразделения ≥ 4,0", C7), 0) &gt; 0, 3, IF(IFERROR(SEARCH("&lt;", C7), 0) &gt; 0, 0,)))</f>
        <v>3</v>
      </c>
      <c r="F7">
        <v>5</v>
      </c>
      <c r="G7" s="16" t="s">
        <v>82</v>
      </c>
      <c r="N7" s="15"/>
      <c r="U7" s="15"/>
    </row>
    <row r="8" spans="1:21" ht="20.25" customHeight="1">
      <c r="A8" s="51"/>
      <c r="B8" s="54"/>
      <c r="C8" s="52"/>
      <c r="D8" s="52"/>
      <c r="F8">
        <v>3</v>
      </c>
      <c r="G8" s="17" t="s">
        <v>83</v>
      </c>
      <c r="N8" s="13"/>
      <c r="U8" s="13"/>
    </row>
    <row r="9" spans="1:21" ht="18" customHeight="1" thickBot="1">
      <c r="A9" s="40"/>
      <c r="B9" s="55"/>
      <c r="C9" s="45"/>
      <c r="D9" s="45"/>
      <c r="F9">
        <v>0</v>
      </c>
      <c r="G9" s="18" t="s">
        <v>84</v>
      </c>
    </row>
    <row r="10" spans="1:21">
      <c r="A10" s="39" t="s">
        <v>7</v>
      </c>
      <c r="B10" s="44" t="s">
        <v>8</v>
      </c>
      <c r="C10" s="44" t="s">
        <v>85</v>
      </c>
      <c r="D10" s="44">
        <f>IF(IFERROR(SEARCH("отсутствуют", C10), 0) &gt; 0, 10, IF(IFERROR(SEARCH("имеются", C10), 0) &gt; 0, 0, ))</f>
        <v>10</v>
      </c>
      <c r="F10">
        <v>10</v>
      </c>
      <c r="G10" t="s">
        <v>85</v>
      </c>
    </row>
    <row r="11" spans="1:21" ht="24.75" customHeight="1" thickBot="1">
      <c r="A11" s="40"/>
      <c r="B11" s="45"/>
      <c r="C11" s="45"/>
      <c r="D11" s="45"/>
      <c r="F11">
        <v>0</v>
      </c>
      <c r="G11" s="13" t="s">
        <v>86</v>
      </c>
    </row>
    <row r="12" spans="1:21" ht="18" customHeight="1" thickBot="1">
      <c r="A12" s="39" t="s">
        <v>9</v>
      </c>
      <c r="B12" s="44" t="s">
        <v>10</v>
      </c>
      <c r="C12" s="44" t="s">
        <v>87</v>
      </c>
      <c r="D12" s="44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>5</v>
      </c>
      <c r="F12">
        <v>5</v>
      </c>
      <c r="G12" s="14" t="s">
        <v>87</v>
      </c>
    </row>
    <row r="13" spans="1:21" ht="15.75">
      <c r="A13" s="51"/>
      <c r="B13" s="52"/>
      <c r="C13" s="52"/>
      <c r="D13" s="52"/>
      <c r="F13">
        <v>3</v>
      </c>
      <c r="G13" s="13" t="s">
        <v>88</v>
      </c>
    </row>
    <row r="14" spans="1:21" ht="16.5" thickBot="1">
      <c r="A14" s="40"/>
      <c r="B14" s="45"/>
      <c r="C14" s="45"/>
      <c r="D14" s="45"/>
      <c r="F14">
        <v>0</v>
      </c>
      <c r="G14" s="13" t="s">
        <v>89</v>
      </c>
    </row>
    <row r="15" spans="1:21" ht="15.75">
      <c r="A15" s="39" t="s">
        <v>11</v>
      </c>
      <c r="B15" s="44" t="s">
        <v>12</v>
      </c>
      <c r="C15" s="41" t="s">
        <v>91</v>
      </c>
      <c r="D15" s="44">
        <f>IF(IFERROR(SEARCH("Отсутствуют", C15), 0) &gt; 0, 5, IF(IFERROR(SEARCH("Наличие одного", C15), 0) &gt; 0, 3, IF(IFERROR(SEARCH("Наличие двух", C15), 0) &gt; 0, 0,)))</f>
        <v>3</v>
      </c>
      <c r="F15">
        <v>5</v>
      </c>
      <c r="G15" s="19" t="s">
        <v>90</v>
      </c>
    </row>
    <row r="16" spans="1:21" ht="15.75">
      <c r="A16" s="51"/>
      <c r="B16" s="52"/>
      <c r="C16" s="53"/>
      <c r="D16" s="52"/>
      <c r="F16">
        <v>3</v>
      </c>
      <c r="G16" s="13" t="s">
        <v>91</v>
      </c>
    </row>
    <row r="17" spans="1:7" ht="92.25" customHeight="1" thickBot="1">
      <c r="A17" s="40"/>
      <c r="B17" s="45"/>
      <c r="C17" s="43"/>
      <c r="D17" s="45"/>
      <c r="F17">
        <v>0</v>
      </c>
      <c r="G17" s="13" t="s">
        <v>92</v>
      </c>
    </row>
    <row r="18" spans="1:7" ht="15" customHeight="1" thickBot="1">
      <c r="A18" s="39" t="s">
        <v>13</v>
      </c>
      <c r="B18" s="44" t="s">
        <v>14</v>
      </c>
      <c r="C18" s="41" t="s">
        <v>93</v>
      </c>
      <c r="D18" s="44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>10</v>
      </c>
      <c r="F18">
        <v>10</v>
      </c>
      <c r="G18" s="13" t="s">
        <v>93</v>
      </c>
    </row>
    <row r="19" spans="1:7" ht="15" customHeight="1" thickBot="1">
      <c r="A19" s="51"/>
      <c r="B19" s="52"/>
      <c r="C19" s="53"/>
      <c r="D19" s="52"/>
      <c r="F19">
        <v>2</v>
      </c>
      <c r="G19" s="14" t="s">
        <v>94</v>
      </c>
    </row>
    <row r="20" spans="1:7" ht="57" customHeight="1" thickBot="1">
      <c r="A20" s="40"/>
      <c r="B20" s="45"/>
      <c r="C20" s="43"/>
      <c r="D20" s="45"/>
      <c r="F20">
        <v>0</v>
      </c>
      <c r="G20" s="13" t="s">
        <v>95</v>
      </c>
    </row>
    <row r="21" spans="1:7" ht="15.75">
      <c r="A21" s="39" t="s">
        <v>15</v>
      </c>
      <c r="B21" s="44" t="s">
        <v>16</v>
      </c>
      <c r="C21" s="41" t="s">
        <v>96</v>
      </c>
      <c r="D21" s="44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>5</v>
      </c>
      <c r="F21">
        <v>5</v>
      </c>
      <c r="G21" s="13" t="s">
        <v>96</v>
      </c>
    </row>
    <row r="22" spans="1:7" ht="42.75" customHeight="1" thickBot="1">
      <c r="A22" s="40"/>
      <c r="B22" s="45"/>
      <c r="C22" s="43"/>
      <c r="D22" s="45"/>
      <c r="F22">
        <v>0</v>
      </c>
      <c r="G22" s="13" t="s">
        <v>97</v>
      </c>
    </row>
    <row r="23" spans="1:7" ht="15.75">
      <c r="A23" s="39" t="s">
        <v>17</v>
      </c>
      <c r="B23" s="44" t="s">
        <v>18</v>
      </c>
      <c r="C23" s="41" t="s">
        <v>19</v>
      </c>
      <c r="D23" s="44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>10</v>
      </c>
      <c r="F23">
        <v>10</v>
      </c>
      <c r="G23" s="13" t="s">
        <v>19</v>
      </c>
    </row>
    <row r="24" spans="1:7" ht="15.75">
      <c r="A24" s="51"/>
      <c r="B24" s="52"/>
      <c r="C24" s="53"/>
      <c r="D24" s="52"/>
      <c r="F24">
        <v>5</v>
      </c>
      <c r="G24" s="13" t="s">
        <v>98</v>
      </c>
    </row>
    <row r="25" spans="1:7" ht="82.5" customHeight="1" thickBot="1">
      <c r="A25" s="40"/>
      <c r="B25" s="45"/>
      <c r="C25" s="43"/>
      <c r="D25" s="45"/>
      <c r="F25">
        <v>0</v>
      </c>
      <c r="G25" s="13" t="s">
        <v>99</v>
      </c>
    </row>
    <row r="26" spans="1:7" ht="15.75">
      <c r="A26" s="39" t="s">
        <v>20</v>
      </c>
      <c r="B26" s="44" t="s">
        <v>21</v>
      </c>
      <c r="C26" s="41" t="s">
        <v>22</v>
      </c>
      <c r="D26" s="44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>3</v>
      </c>
      <c r="F26">
        <v>3</v>
      </c>
      <c r="G26" s="13" t="s">
        <v>22</v>
      </c>
    </row>
    <row r="27" spans="1:7" ht="41.25" customHeight="1" thickBot="1">
      <c r="A27" s="40"/>
      <c r="B27" s="45"/>
      <c r="C27" s="43"/>
      <c r="D27" s="45"/>
      <c r="F27">
        <v>0</v>
      </c>
      <c r="G27" s="13" t="s">
        <v>100</v>
      </c>
    </row>
    <row r="28" spans="1:7" ht="15.75">
      <c r="A28" s="39" t="s">
        <v>23</v>
      </c>
      <c r="B28" s="44" t="s">
        <v>24</v>
      </c>
      <c r="C28" s="41" t="s">
        <v>101</v>
      </c>
      <c r="D28" s="44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>5</v>
      </c>
      <c r="F28">
        <v>5</v>
      </c>
      <c r="G28" s="13" t="s">
        <v>101</v>
      </c>
    </row>
    <row r="29" spans="1:7" ht="15.75">
      <c r="A29" s="51"/>
      <c r="B29" s="52"/>
      <c r="C29" s="53"/>
      <c r="D29" s="52"/>
      <c r="F29">
        <v>3</v>
      </c>
      <c r="G29" s="13" t="s">
        <v>102</v>
      </c>
    </row>
    <row r="30" spans="1:7" ht="61.5" customHeight="1" thickBot="1">
      <c r="A30" s="40"/>
      <c r="B30" s="45"/>
      <c r="C30" s="43"/>
      <c r="D30" s="45"/>
      <c r="F30">
        <v>0</v>
      </c>
      <c r="G30" s="13" t="s">
        <v>103</v>
      </c>
    </row>
    <row r="31" spans="1:7" ht="15.75">
      <c r="A31" s="39" t="s">
        <v>25</v>
      </c>
      <c r="B31" s="44" t="s">
        <v>26</v>
      </c>
      <c r="C31" s="41" t="s">
        <v>104</v>
      </c>
      <c r="D31" s="44">
        <f>IF(IFERROR(SEARCH("Отсутствуют нарушения ТБ", C31), 0) &gt; 0, 10, IF(IFERROR(SEARCH("Имелись нарушения ТБ", C31), 0) &gt; 0, 0, ))</f>
        <v>10</v>
      </c>
      <c r="F31">
        <v>10</v>
      </c>
      <c r="G31" s="13" t="s">
        <v>104</v>
      </c>
    </row>
    <row r="32" spans="1:7" ht="33.75" customHeight="1" thickBot="1">
      <c r="A32" s="40"/>
      <c r="B32" s="45"/>
      <c r="C32" s="43"/>
      <c r="D32" s="45"/>
      <c r="F32">
        <v>0</v>
      </c>
      <c r="G32" s="13" t="s">
        <v>105</v>
      </c>
    </row>
    <row r="33" spans="1:7" ht="15.75">
      <c r="A33" s="39" t="s">
        <v>27</v>
      </c>
      <c r="B33" s="44" t="s">
        <v>28</v>
      </c>
      <c r="C33" s="41" t="s">
        <v>52</v>
      </c>
      <c r="D33" s="44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>10</v>
      </c>
      <c r="F33">
        <v>10</v>
      </c>
      <c r="G33" s="13" t="s">
        <v>52</v>
      </c>
    </row>
    <row r="34" spans="1:7" ht="15.75">
      <c r="A34" s="51"/>
      <c r="B34" s="52"/>
      <c r="C34" s="53"/>
      <c r="D34" s="52"/>
      <c r="F34">
        <v>5</v>
      </c>
      <c r="G34" s="13" t="s">
        <v>106</v>
      </c>
    </row>
    <row r="35" spans="1:7" ht="18" customHeight="1" thickBot="1">
      <c r="A35" s="40"/>
      <c r="B35" s="45"/>
      <c r="C35" s="43"/>
      <c r="D35" s="45"/>
      <c r="F35">
        <v>0</v>
      </c>
      <c r="G35" s="13" t="s">
        <v>107</v>
      </c>
    </row>
    <row r="36" spans="1:7" ht="15.75">
      <c r="A36" s="39" t="s">
        <v>29</v>
      </c>
      <c r="B36" s="44" t="s">
        <v>30</v>
      </c>
      <c r="C36" s="41" t="s">
        <v>31</v>
      </c>
      <c r="D36" s="44">
        <f>IF(IFERROR(SEARCH("Материальные средства ", C36), 0) &gt; 0, 5, IF(IFERROR(SEARCH("Не выполнены ", C36), 0) &gt; 0, 0, ))</f>
        <v>5</v>
      </c>
      <c r="F36">
        <v>5</v>
      </c>
      <c r="G36" s="13" t="s">
        <v>31</v>
      </c>
    </row>
    <row r="37" spans="1:7" ht="45" customHeight="1" thickBot="1">
      <c r="A37" s="40"/>
      <c r="B37" s="45"/>
      <c r="C37" s="43"/>
      <c r="D37" s="45"/>
      <c r="F37">
        <v>0</v>
      </c>
      <c r="G37" s="13" t="s">
        <v>110</v>
      </c>
    </row>
    <row r="38" spans="1:7" ht="15.75">
      <c r="A38" s="39" t="s">
        <v>32</v>
      </c>
      <c r="B38" s="44" t="s">
        <v>33</v>
      </c>
      <c r="C38" s="41" t="s">
        <v>108</v>
      </c>
      <c r="D38" s="44">
        <f>IF(IFERROR(SEARCH("5", C38), 0) &gt; 0, 2, IF(IFERROR(SEARCH("4", C38), 0) &gt; 0, 1, ))</f>
        <v>2</v>
      </c>
      <c r="F38">
        <v>2</v>
      </c>
      <c r="G38" s="13" t="s">
        <v>108</v>
      </c>
    </row>
    <row r="39" spans="1:7" ht="103.5" customHeight="1" thickBot="1">
      <c r="A39" s="40"/>
      <c r="B39" s="45"/>
      <c r="C39" s="43"/>
      <c r="D39" s="45"/>
      <c r="F39">
        <v>1</v>
      </c>
      <c r="G39" s="13" t="s">
        <v>109</v>
      </c>
    </row>
    <row r="40" spans="1:7">
      <c r="A40" s="46" t="s">
        <v>34</v>
      </c>
      <c r="B40" s="47"/>
      <c r="C40" s="66"/>
      <c r="D40" s="68">
        <f>SUM(D7:D39)</f>
        <v>81</v>
      </c>
      <c r="E40" s="65"/>
    </row>
    <row r="41" spans="1:7" ht="15.75" thickBot="1">
      <c r="A41" s="48"/>
      <c r="B41" s="49"/>
      <c r="C41" s="67"/>
      <c r="D41" s="69"/>
      <c r="E41" s="65"/>
    </row>
    <row r="43" spans="1:7" ht="20.25">
      <c r="A43" s="37" t="s">
        <v>35</v>
      </c>
      <c r="B43" s="37"/>
      <c r="C43" s="37"/>
      <c r="D43" s="5"/>
      <c r="E43" s="5"/>
    </row>
    <row r="44" spans="1:7" ht="20.25">
      <c r="A44" s="37"/>
      <c r="B44" s="37"/>
      <c r="C44" s="37"/>
      <c r="D44" s="6"/>
      <c r="E44" s="6"/>
    </row>
    <row r="45" spans="1:7" ht="20.25">
      <c r="A45" s="5"/>
      <c r="B45" s="5"/>
      <c r="C45" s="5" t="s">
        <v>36</v>
      </c>
      <c r="D45" s="5"/>
      <c r="E45" s="5"/>
    </row>
    <row r="46" spans="1:7" ht="20.25">
      <c r="A46" s="5"/>
      <c r="B46" s="5"/>
      <c r="C46" s="7" t="s">
        <v>37</v>
      </c>
    </row>
  </sheetData>
  <mergeCells count="63">
    <mergeCell ref="A1:E1"/>
    <mergeCell ref="A2:E2"/>
    <mergeCell ref="A3:E3"/>
    <mergeCell ref="A4:E4"/>
    <mergeCell ref="B5:B6"/>
    <mergeCell ref="C5:C6"/>
    <mergeCell ref="D5:D6"/>
    <mergeCell ref="A7:A9"/>
    <mergeCell ref="B7:B9"/>
    <mergeCell ref="C7:C9"/>
    <mergeCell ref="D7:D9"/>
    <mergeCell ref="A10:A11"/>
    <mergeCell ref="B10:B11"/>
    <mergeCell ref="C10:C11"/>
    <mergeCell ref="D10:D11"/>
    <mergeCell ref="A12:A14"/>
    <mergeCell ref="B12:B14"/>
    <mergeCell ref="C12:C14"/>
    <mergeCell ref="D12:D14"/>
    <mergeCell ref="A15:A17"/>
    <mergeCell ref="B15:B17"/>
    <mergeCell ref="C15:C17"/>
    <mergeCell ref="D15:D17"/>
    <mergeCell ref="A18:A20"/>
    <mergeCell ref="B18:B20"/>
    <mergeCell ref="C18:C20"/>
    <mergeCell ref="D18:D20"/>
    <mergeCell ref="A21:A22"/>
    <mergeCell ref="B21:B22"/>
    <mergeCell ref="C21:C22"/>
    <mergeCell ref="D21:D22"/>
    <mergeCell ref="A23:A25"/>
    <mergeCell ref="B23:B25"/>
    <mergeCell ref="C23:C25"/>
    <mergeCell ref="D23:D25"/>
    <mergeCell ref="A26:A27"/>
    <mergeCell ref="B26:B27"/>
    <mergeCell ref="C26:C27"/>
    <mergeCell ref="D26:D27"/>
    <mergeCell ref="A28:A30"/>
    <mergeCell ref="B28:B30"/>
    <mergeCell ref="C28:C30"/>
    <mergeCell ref="D28:D30"/>
    <mergeCell ref="A31:A32"/>
    <mergeCell ref="B31:B32"/>
    <mergeCell ref="C31:C32"/>
    <mergeCell ref="D31:D32"/>
    <mergeCell ref="A33:A35"/>
    <mergeCell ref="B33:B35"/>
    <mergeCell ref="C33:C35"/>
    <mergeCell ref="D33:D35"/>
    <mergeCell ref="A36:A37"/>
    <mergeCell ref="B36:B37"/>
    <mergeCell ref="C36:C37"/>
    <mergeCell ref="D36:D37"/>
    <mergeCell ref="E40:E41"/>
    <mergeCell ref="A43:C44"/>
    <mergeCell ref="A38:A39"/>
    <mergeCell ref="B38:B39"/>
    <mergeCell ref="C38:C39"/>
    <mergeCell ref="D38:D39"/>
    <mergeCell ref="A40:C41"/>
    <mergeCell ref="D40:D41"/>
  </mergeCells>
  <dataValidations count="13">
    <dataValidation type="list" allowBlank="1" showInputMessage="1" showErrorMessage="1" sqref="C7:C9">
      <formula1>$G$7:$G$9</formula1>
    </dataValidation>
    <dataValidation type="list" allowBlank="1" showInputMessage="1" showErrorMessage="1" sqref="C10:C11">
      <formula1>$G$10:$G$11</formula1>
    </dataValidation>
    <dataValidation type="list" allowBlank="1" showInputMessage="1" showErrorMessage="1" sqref="C12:C14">
      <formula1>$G$12:$G$14</formula1>
    </dataValidation>
    <dataValidation type="list" allowBlank="1" showInputMessage="1" showErrorMessage="1" sqref="C15:C17">
      <formula1>$G$15:$G$17</formula1>
    </dataValidation>
    <dataValidation type="list" allowBlank="1" showInputMessage="1" showErrorMessage="1" sqref="C18:C20">
      <formula1>$G$18:$G$20</formula1>
    </dataValidation>
    <dataValidation type="list" allowBlank="1" showInputMessage="1" showErrorMessage="1" sqref="C21:C22">
      <formula1>$G$21:$G$22</formula1>
    </dataValidation>
    <dataValidation type="list" allowBlank="1" showInputMessage="1" showErrorMessage="1" sqref="C23:C25">
      <formula1>$G$23:$G$25</formula1>
    </dataValidation>
    <dataValidation type="list" allowBlank="1" showInputMessage="1" showErrorMessage="1" sqref="C26:C27">
      <formula1>$G$26:$G$27</formula1>
    </dataValidation>
    <dataValidation type="list" allowBlank="1" showInputMessage="1" showErrorMessage="1" sqref="C28:C30">
      <formula1>$G$28:$G$30</formula1>
    </dataValidation>
    <dataValidation type="list" allowBlank="1" showInputMessage="1" showErrorMessage="1" sqref="C31:C32">
      <formula1>$G$31:$G$32</formula1>
    </dataValidation>
    <dataValidation type="list" allowBlank="1" showInputMessage="1" showErrorMessage="1" sqref="C33:C35">
      <formula1>$G$33:$G$35</formula1>
    </dataValidation>
    <dataValidation type="list" allowBlank="1" showInputMessage="1" showErrorMessage="1" sqref="C36:C37">
      <formula1>$G$36:$G$37</formula1>
    </dataValidation>
    <dataValidation type="list" allowBlank="1" showInputMessage="1" showErrorMessage="1" sqref="C38:C39">
      <formula1>$G$38:$G$39</formula1>
    </dataValidation>
  </dataValidation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sheetPr>
    <tabColor rgb="FFFF0000"/>
  </sheetPr>
  <dimension ref="A1:U46"/>
  <sheetViews>
    <sheetView topLeftCell="B22" zoomScale="115" zoomScaleNormal="115" workbookViewId="0">
      <selection activeCell="C28" sqref="C28:C30"/>
    </sheetView>
  </sheetViews>
  <sheetFormatPr defaultRowHeight="15"/>
  <cols>
    <col min="2" max="2" width="26" customWidth="1"/>
    <col min="3" max="3" width="58.5703125" customWidth="1"/>
    <col min="4" max="4" width="28.42578125" customWidth="1"/>
    <col min="5" max="5" width="24.140625" hidden="1" customWidth="1"/>
    <col min="6" max="6" width="24" hidden="1" customWidth="1"/>
    <col min="7" max="7" width="19.42578125" hidden="1" customWidth="1"/>
    <col min="8" max="8" width="18.42578125" customWidth="1"/>
  </cols>
  <sheetData>
    <row r="1" spans="1:21" ht="20.25">
      <c r="A1" s="56" t="s">
        <v>0</v>
      </c>
      <c r="B1" s="56"/>
      <c r="C1" s="56"/>
      <c r="D1" s="56"/>
      <c r="E1" s="56"/>
    </row>
    <row r="2" spans="1:21" ht="18.75">
      <c r="A2" s="57" t="s">
        <v>1</v>
      </c>
      <c r="B2" s="57"/>
      <c r="C2" s="57"/>
      <c r="D2" s="57"/>
      <c r="E2" s="57"/>
    </row>
    <row r="3" spans="1:21" ht="18.75">
      <c r="A3" s="58" t="s">
        <v>2</v>
      </c>
      <c r="B3" s="57"/>
      <c r="C3" s="57"/>
      <c r="D3" s="57"/>
      <c r="E3" s="57"/>
    </row>
    <row r="4" spans="1:21" ht="16.5" thickBot="1">
      <c r="A4" s="59"/>
      <c r="B4" s="59"/>
      <c r="C4" s="59"/>
      <c r="D4" s="59"/>
      <c r="E4" s="59"/>
    </row>
    <row r="5" spans="1:21" ht="15.75">
      <c r="A5" s="1" t="s">
        <v>3</v>
      </c>
      <c r="B5" s="60" t="s">
        <v>54</v>
      </c>
      <c r="C5" s="60" t="s">
        <v>55</v>
      </c>
      <c r="D5" s="60" t="s">
        <v>42</v>
      </c>
    </row>
    <row r="6" spans="1:21" ht="16.5" thickBot="1">
      <c r="A6" s="3" t="s">
        <v>4</v>
      </c>
      <c r="B6" s="61"/>
      <c r="C6" s="61"/>
      <c r="D6" s="61"/>
    </row>
    <row r="7" spans="1:21" ht="13.5" customHeight="1">
      <c r="A7" s="39" t="s">
        <v>5</v>
      </c>
      <c r="B7" s="44" t="s">
        <v>6</v>
      </c>
      <c r="C7" s="44" t="s">
        <v>83</v>
      </c>
      <c r="D7" s="44">
        <f>IF(IFERROR(SEARCH("подразделения ≥ 4,5", C7), 0) &gt; 0, 5, IF(IFERROR(SEARCH("подразделения ≥ 4,0", C7), 0) &gt; 0, 3, IF(IFERROR(SEARCH("&lt;", C7), 0) &gt; 0, 0,)))</f>
        <v>3</v>
      </c>
      <c r="F7">
        <v>5</v>
      </c>
      <c r="G7" s="16" t="s">
        <v>82</v>
      </c>
      <c r="N7" s="15"/>
      <c r="U7" s="15"/>
    </row>
    <row r="8" spans="1:21" ht="20.25" customHeight="1">
      <c r="A8" s="51"/>
      <c r="B8" s="54"/>
      <c r="C8" s="52"/>
      <c r="D8" s="52"/>
      <c r="F8">
        <v>3</v>
      </c>
      <c r="G8" s="17" t="s">
        <v>83</v>
      </c>
      <c r="N8" s="13"/>
      <c r="U8" s="13"/>
    </row>
    <row r="9" spans="1:21" ht="18" customHeight="1" thickBot="1">
      <c r="A9" s="40"/>
      <c r="B9" s="55"/>
      <c r="C9" s="45"/>
      <c r="D9" s="45"/>
      <c r="F9">
        <v>0</v>
      </c>
      <c r="G9" s="18" t="s">
        <v>84</v>
      </c>
    </row>
    <row r="10" spans="1:21">
      <c r="A10" s="39" t="s">
        <v>7</v>
      </c>
      <c r="B10" s="44" t="s">
        <v>8</v>
      </c>
      <c r="C10" s="44" t="s">
        <v>85</v>
      </c>
      <c r="D10" s="44">
        <f>IF(IFERROR(SEARCH("отсутствуют", C10), 0) &gt; 0, 10, IF(IFERROR(SEARCH("имеются", C10), 0) &gt; 0, 0, ))</f>
        <v>10</v>
      </c>
      <c r="F10">
        <v>10</v>
      </c>
      <c r="G10" t="s">
        <v>85</v>
      </c>
    </row>
    <row r="11" spans="1:21" ht="24.75" customHeight="1" thickBot="1">
      <c r="A11" s="40"/>
      <c r="B11" s="45"/>
      <c r="C11" s="45"/>
      <c r="D11" s="45"/>
      <c r="F11">
        <v>0</v>
      </c>
      <c r="G11" s="13" t="s">
        <v>86</v>
      </c>
    </row>
    <row r="12" spans="1:21" ht="18" customHeight="1" thickBot="1">
      <c r="A12" s="39" t="s">
        <v>9</v>
      </c>
      <c r="B12" s="44" t="s">
        <v>10</v>
      </c>
      <c r="C12" s="44" t="s">
        <v>87</v>
      </c>
      <c r="D12" s="44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>5</v>
      </c>
      <c r="F12">
        <v>5</v>
      </c>
      <c r="G12" s="14" t="s">
        <v>87</v>
      </c>
    </row>
    <row r="13" spans="1:21" ht="15.75">
      <c r="A13" s="51"/>
      <c r="B13" s="52"/>
      <c r="C13" s="52"/>
      <c r="D13" s="52"/>
      <c r="F13">
        <v>3</v>
      </c>
      <c r="G13" s="13" t="s">
        <v>88</v>
      </c>
    </row>
    <row r="14" spans="1:21" ht="16.5" thickBot="1">
      <c r="A14" s="40"/>
      <c r="B14" s="45"/>
      <c r="C14" s="45"/>
      <c r="D14" s="45"/>
      <c r="F14">
        <v>0</v>
      </c>
      <c r="G14" s="13" t="s">
        <v>89</v>
      </c>
    </row>
    <row r="15" spans="1:21" ht="15.75">
      <c r="A15" s="39" t="s">
        <v>11</v>
      </c>
      <c r="B15" s="44" t="s">
        <v>12</v>
      </c>
      <c r="C15" s="41" t="s">
        <v>91</v>
      </c>
      <c r="D15" s="44">
        <f>IF(IFERROR(SEARCH("Отсутствуют", C15), 0) &gt; 0, 5, IF(IFERROR(SEARCH("Наличие одного", C15), 0) &gt; 0, 3, IF(IFERROR(SEARCH("Наличие двух", C15), 0) &gt; 0, 0,)))</f>
        <v>3</v>
      </c>
      <c r="F15">
        <v>5</v>
      </c>
      <c r="G15" s="19" t="s">
        <v>90</v>
      </c>
    </row>
    <row r="16" spans="1:21" ht="15.75">
      <c r="A16" s="51"/>
      <c r="B16" s="52"/>
      <c r="C16" s="53"/>
      <c r="D16" s="52"/>
      <c r="F16">
        <v>3</v>
      </c>
      <c r="G16" s="13" t="s">
        <v>91</v>
      </c>
    </row>
    <row r="17" spans="1:7" ht="92.25" customHeight="1" thickBot="1">
      <c r="A17" s="40"/>
      <c r="B17" s="45"/>
      <c r="C17" s="43"/>
      <c r="D17" s="45"/>
      <c r="F17">
        <v>0</v>
      </c>
      <c r="G17" s="13" t="s">
        <v>92</v>
      </c>
    </row>
    <row r="18" spans="1:7" ht="15" customHeight="1" thickBot="1">
      <c r="A18" s="39" t="s">
        <v>13</v>
      </c>
      <c r="B18" s="44" t="s">
        <v>14</v>
      </c>
      <c r="C18" s="41" t="s">
        <v>93</v>
      </c>
      <c r="D18" s="44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>10</v>
      </c>
      <c r="F18">
        <v>10</v>
      </c>
      <c r="G18" s="13" t="s">
        <v>93</v>
      </c>
    </row>
    <row r="19" spans="1:7" ht="15" customHeight="1" thickBot="1">
      <c r="A19" s="51"/>
      <c r="B19" s="52"/>
      <c r="C19" s="53"/>
      <c r="D19" s="52"/>
      <c r="F19">
        <v>2</v>
      </c>
      <c r="G19" s="14" t="s">
        <v>94</v>
      </c>
    </row>
    <row r="20" spans="1:7" ht="57" customHeight="1" thickBot="1">
      <c r="A20" s="40"/>
      <c r="B20" s="45"/>
      <c r="C20" s="43"/>
      <c r="D20" s="45"/>
      <c r="F20">
        <v>0</v>
      </c>
      <c r="G20" s="13" t="s">
        <v>95</v>
      </c>
    </row>
    <row r="21" spans="1:7" ht="15.75">
      <c r="A21" s="39" t="s">
        <v>15</v>
      </c>
      <c r="B21" s="44" t="s">
        <v>16</v>
      </c>
      <c r="C21" s="41" t="s">
        <v>96</v>
      </c>
      <c r="D21" s="44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>5</v>
      </c>
      <c r="F21">
        <v>5</v>
      </c>
      <c r="G21" s="13" t="s">
        <v>96</v>
      </c>
    </row>
    <row r="22" spans="1:7" ht="42.75" customHeight="1" thickBot="1">
      <c r="A22" s="40"/>
      <c r="B22" s="45"/>
      <c r="C22" s="43"/>
      <c r="D22" s="45"/>
      <c r="F22">
        <v>0</v>
      </c>
      <c r="G22" s="13" t="s">
        <v>97</v>
      </c>
    </row>
    <row r="23" spans="1:7" ht="15.75">
      <c r="A23" s="39" t="s">
        <v>17</v>
      </c>
      <c r="B23" s="44" t="s">
        <v>18</v>
      </c>
      <c r="C23" s="41" t="s">
        <v>19</v>
      </c>
      <c r="D23" s="44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>10</v>
      </c>
      <c r="F23">
        <v>10</v>
      </c>
      <c r="G23" s="13" t="s">
        <v>19</v>
      </c>
    </row>
    <row r="24" spans="1:7" ht="15.75">
      <c r="A24" s="51"/>
      <c r="B24" s="52"/>
      <c r="C24" s="53"/>
      <c r="D24" s="52"/>
      <c r="F24">
        <v>5</v>
      </c>
      <c r="G24" s="13" t="s">
        <v>98</v>
      </c>
    </row>
    <row r="25" spans="1:7" ht="82.5" customHeight="1" thickBot="1">
      <c r="A25" s="40"/>
      <c r="B25" s="45"/>
      <c r="C25" s="43"/>
      <c r="D25" s="45"/>
      <c r="F25">
        <v>0</v>
      </c>
      <c r="G25" s="13" t="s">
        <v>99</v>
      </c>
    </row>
    <row r="26" spans="1:7" ht="15.75">
      <c r="A26" s="39" t="s">
        <v>20</v>
      </c>
      <c r="B26" s="44" t="s">
        <v>21</v>
      </c>
      <c r="C26" s="41" t="s">
        <v>22</v>
      </c>
      <c r="D26" s="44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>3</v>
      </c>
      <c r="F26">
        <v>3</v>
      </c>
      <c r="G26" s="13" t="s">
        <v>22</v>
      </c>
    </row>
    <row r="27" spans="1:7" ht="41.25" customHeight="1" thickBot="1">
      <c r="A27" s="40"/>
      <c r="B27" s="45"/>
      <c r="C27" s="43"/>
      <c r="D27" s="45"/>
      <c r="F27">
        <v>0</v>
      </c>
      <c r="G27" s="13" t="s">
        <v>100</v>
      </c>
    </row>
    <row r="28" spans="1:7" ht="15.75">
      <c r="A28" s="39" t="s">
        <v>23</v>
      </c>
      <c r="B28" s="44" t="s">
        <v>24</v>
      </c>
      <c r="C28" s="41" t="s">
        <v>102</v>
      </c>
      <c r="D28" s="44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>3</v>
      </c>
      <c r="F28">
        <v>5</v>
      </c>
      <c r="G28" s="13" t="s">
        <v>101</v>
      </c>
    </row>
    <row r="29" spans="1:7" ht="15.75">
      <c r="A29" s="51"/>
      <c r="B29" s="52"/>
      <c r="C29" s="53"/>
      <c r="D29" s="52"/>
      <c r="F29">
        <v>3</v>
      </c>
      <c r="G29" s="13" t="s">
        <v>102</v>
      </c>
    </row>
    <row r="30" spans="1:7" ht="61.5" customHeight="1" thickBot="1">
      <c r="A30" s="40"/>
      <c r="B30" s="45"/>
      <c r="C30" s="43"/>
      <c r="D30" s="45"/>
      <c r="F30">
        <v>0</v>
      </c>
      <c r="G30" s="13" t="s">
        <v>103</v>
      </c>
    </row>
    <row r="31" spans="1:7" ht="15.75">
      <c r="A31" s="39" t="s">
        <v>25</v>
      </c>
      <c r="B31" s="44" t="s">
        <v>26</v>
      </c>
      <c r="C31" s="41" t="s">
        <v>104</v>
      </c>
      <c r="D31" s="44">
        <f>IF(IFERROR(SEARCH("Отсутствуют нарушения ТБ", C31), 0) &gt; 0, 10, IF(IFERROR(SEARCH("Имелись нарушения ТБ", C31), 0) &gt; 0, 0, ))</f>
        <v>10</v>
      </c>
      <c r="F31">
        <v>10</v>
      </c>
      <c r="G31" s="13" t="s">
        <v>104</v>
      </c>
    </row>
    <row r="32" spans="1:7" ht="33.75" customHeight="1" thickBot="1">
      <c r="A32" s="40"/>
      <c r="B32" s="45"/>
      <c r="C32" s="43"/>
      <c r="D32" s="45"/>
      <c r="F32">
        <v>0</v>
      </c>
      <c r="G32" s="13" t="s">
        <v>105</v>
      </c>
    </row>
    <row r="33" spans="1:7" ht="15.75">
      <c r="A33" s="39" t="s">
        <v>27</v>
      </c>
      <c r="B33" s="44" t="s">
        <v>28</v>
      </c>
      <c r="C33" s="41" t="s">
        <v>52</v>
      </c>
      <c r="D33" s="44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>10</v>
      </c>
      <c r="F33">
        <v>10</v>
      </c>
      <c r="G33" s="13" t="s">
        <v>52</v>
      </c>
    </row>
    <row r="34" spans="1:7" ht="15.75">
      <c r="A34" s="51"/>
      <c r="B34" s="52"/>
      <c r="C34" s="53"/>
      <c r="D34" s="52"/>
      <c r="F34">
        <v>5</v>
      </c>
      <c r="G34" s="13" t="s">
        <v>106</v>
      </c>
    </row>
    <row r="35" spans="1:7" ht="18" customHeight="1" thickBot="1">
      <c r="A35" s="40"/>
      <c r="B35" s="45"/>
      <c r="C35" s="43"/>
      <c r="D35" s="45"/>
      <c r="F35">
        <v>0</v>
      </c>
      <c r="G35" s="13" t="s">
        <v>107</v>
      </c>
    </row>
    <row r="36" spans="1:7" ht="15.75">
      <c r="A36" s="39" t="s">
        <v>29</v>
      </c>
      <c r="B36" s="44" t="s">
        <v>30</v>
      </c>
      <c r="C36" s="41" t="s">
        <v>31</v>
      </c>
      <c r="D36" s="44">
        <f>IF(IFERROR(SEARCH("Материальные средства ", C36), 0) &gt; 0, 5, IF(IFERROR(SEARCH("Не выполнены ", C36), 0) &gt; 0, 0, ))</f>
        <v>5</v>
      </c>
      <c r="F36">
        <v>5</v>
      </c>
      <c r="G36" s="13" t="s">
        <v>31</v>
      </c>
    </row>
    <row r="37" spans="1:7" ht="45" customHeight="1" thickBot="1">
      <c r="A37" s="40"/>
      <c r="B37" s="45"/>
      <c r="C37" s="43"/>
      <c r="D37" s="45"/>
      <c r="F37">
        <v>0</v>
      </c>
      <c r="G37" s="13" t="s">
        <v>110</v>
      </c>
    </row>
    <row r="38" spans="1:7" ht="15.75">
      <c r="A38" s="39" t="s">
        <v>32</v>
      </c>
      <c r="B38" s="44" t="s">
        <v>33</v>
      </c>
      <c r="C38" s="41" t="s">
        <v>108</v>
      </c>
      <c r="D38" s="44">
        <f>IF(IFERROR(SEARCH("5", C38), 0) &gt; 0, 2, IF(IFERROR(SEARCH("4", C38), 0) &gt; 0, 1, ))</f>
        <v>2</v>
      </c>
      <c r="F38">
        <v>2</v>
      </c>
      <c r="G38" s="13" t="s">
        <v>108</v>
      </c>
    </row>
    <row r="39" spans="1:7" ht="103.5" customHeight="1" thickBot="1">
      <c r="A39" s="40"/>
      <c r="B39" s="45"/>
      <c r="C39" s="43"/>
      <c r="D39" s="45"/>
      <c r="F39">
        <v>1</v>
      </c>
      <c r="G39" s="13" t="s">
        <v>109</v>
      </c>
    </row>
    <row r="40" spans="1:7">
      <c r="A40" s="46" t="s">
        <v>34</v>
      </c>
      <c r="B40" s="47"/>
      <c r="C40" s="66"/>
      <c r="D40" s="68">
        <f>SUM(D7:D39)</f>
        <v>79</v>
      </c>
      <c r="E40" s="65"/>
    </row>
    <row r="41" spans="1:7" ht="15.75" thickBot="1">
      <c r="A41" s="48"/>
      <c r="B41" s="49"/>
      <c r="C41" s="67"/>
      <c r="D41" s="69"/>
      <c r="E41" s="65"/>
    </row>
    <row r="43" spans="1:7" ht="20.25">
      <c r="A43" s="37" t="s">
        <v>35</v>
      </c>
      <c r="B43" s="37"/>
      <c r="C43" s="37"/>
      <c r="D43" s="5"/>
      <c r="E43" s="5"/>
    </row>
    <row r="44" spans="1:7" ht="20.25">
      <c r="A44" s="37"/>
      <c r="B44" s="37"/>
      <c r="C44" s="37"/>
      <c r="D44" s="6"/>
      <c r="E44" s="6"/>
    </row>
    <row r="45" spans="1:7" ht="20.25">
      <c r="A45" s="5"/>
      <c r="B45" s="5"/>
      <c r="C45" s="5" t="s">
        <v>36</v>
      </c>
      <c r="D45" s="5"/>
      <c r="E45" s="5"/>
    </row>
    <row r="46" spans="1:7" ht="20.25">
      <c r="A46" s="5"/>
      <c r="B46" s="5"/>
      <c r="C46" s="7" t="s">
        <v>37</v>
      </c>
    </row>
  </sheetData>
  <mergeCells count="63">
    <mergeCell ref="E40:E41"/>
    <mergeCell ref="A43:C44"/>
    <mergeCell ref="A38:A39"/>
    <mergeCell ref="B38:B39"/>
    <mergeCell ref="C38:C39"/>
    <mergeCell ref="D38:D39"/>
    <mergeCell ref="A40:C41"/>
    <mergeCell ref="D40:D41"/>
    <mergeCell ref="A33:A35"/>
    <mergeCell ref="B33:B35"/>
    <mergeCell ref="C33:C35"/>
    <mergeCell ref="D33:D35"/>
    <mergeCell ref="A36:A37"/>
    <mergeCell ref="B36:B37"/>
    <mergeCell ref="C36:C37"/>
    <mergeCell ref="D36:D37"/>
    <mergeCell ref="A28:A30"/>
    <mergeCell ref="B28:B30"/>
    <mergeCell ref="C28:C30"/>
    <mergeCell ref="D28:D30"/>
    <mergeCell ref="A31:A32"/>
    <mergeCell ref="B31:B32"/>
    <mergeCell ref="C31:C32"/>
    <mergeCell ref="D31:D32"/>
    <mergeCell ref="A23:A25"/>
    <mergeCell ref="B23:B25"/>
    <mergeCell ref="C23:C25"/>
    <mergeCell ref="D23:D25"/>
    <mergeCell ref="A26:A27"/>
    <mergeCell ref="B26:B27"/>
    <mergeCell ref="C26:C27"/>
    <mergeCell ref="D26:D27"/>
    <mergeCell ref="A18:A20"/>
    <mergeCell ref="B18:B20"/>
    <mergeCell ref="C18:C20"/>
    <mergeCell ref="D18:D20"/>
    <mergeCell ref="A21:A22"/>
    <mergeCell ref="B21:B22"/>
    <mergeCell ref="C21:C22"/>
    <mergeCell ref="D21:D22"/>
    <mergeCell ref="A12:A14"/>
    <mergeCell ref="B12:B14"/>
    <mergeCell ref="C12:C14"/>
    <mergeCell ref="D12:D14"/>
    <mergeCell ref="A15:A17"/>
    <mergeCell ref="B15:B17"/>
    <mergeCell ref="C15:C17"/>
    <mergeCell ref="D15:D17"/>
    <mergeCell ref="A7:A9"/>
    <mergeCell ref="B7:B9"/>
    <mergeCell ref="C7:C9"/>
    <mergeCell ref="D7:D9"/>
    <mergeCell ref="A10:A11"/>
    <mergeCell ref="B10:B11"/>
    <mergeCell ref="C10:C11"/>
    <mergeCell ref="D10:D11"/>
    <mergeCell ref="A1:E1"/>
    <mergeCell ref="A2:E2"/>
    <mergeCell ref="A3:E3"/>
    <mergeCell ref="A4:E4"/>
    <mergeCell ref="B5:B6"/>
    <mergeCell ref="C5:C6"/>
    <mergeCell ref="D5:D6"/>
  </mergeCells>
  <dataValidations count="13">
    <dataValidation type="list" allowBlank="1" showInputMessage="1" showErrorMessage="1" sqref="C38:C39">
      <formula1>$G$38:$G$39</formula1>
    </dataValidation>
    <dataValidation type="list" allowBlank="1" showInputMessage="1" showErrorMessage="1" sqref="C36:C37">
      <formula1>$G$36:$G$37</formula1>
    </dataValidation>
    <dataValidation type="list" allowBlank="1" showInputMessage="1" showErrorMessage="1" sqref="C33:C35">
      <formula1>$G$33:$G$35</formula1>
    </dataValidation>
    <dataValidation type="list" allowBlank="1" showInputMessage="1" showErrorMessage="1" sqref="C31:C32">
      <formula1>$G$31:$G$32</formula1>
    </dataValidation>
    <dataValidation type="list" allowBlank="1" showInputMessage="1" showErrorMessage="1" sqref="C28:C30">
      <formula1>$G$28:$G$30</formula1>
    </dataValidation>
    <dataValidation type="list" allowBlank="1" showInputMessage="1" showErrorMessage="1" sqref="C26:C27">
      <formula1>$G$26:$G$27</formula1>
    </dataValidation>
    <dataValidation type="list" allowBlank="1" showInputMessage="1" showErrorMessage="1" sqref="C23:C25">
      <formula1>$G$23:$G$25</formula1>
    </dataValidation>
    <dataValidation type="list" allowBlank="1" showInputMessage="1" showErrorMessage="1" sqref="C21:C22">
      <formula1>$G$21:$G$22</formula1>
    </dataValidation>
    <dataValidation type="list" allowBlank="1" showInputMessage="1" showErrorMessage="1" sqref="C18:C20">
      <formula1>$G$18:$G$20</formula1>
    </dataValidation>
    <dataValidation type="list" allowBlank="1" showInputMessage="1" showErrorMessage="1" sqref="C15:C17">
      <formula1>$G$15:$G$17</formula1>
    </dataValidation>
    <dataValidation type="list" allowBlank="1" showInputMessage="1" showErrorMessage="1" sqref="C12:C14">
      <formula1>$G$12:$G$14</formula1>
    </dataValidation>
    <dataValidation type="list" allowBlank="1" showInputMessage="1" showErrorMessage="1" sqref="C10:C11">
      <formula1>$G$10:$G$11</formula1>
    </dataValidation>
    <dataValidation type="list" allowBlank="1" showInputMessage="1" showErrorMessage="1" sqref="C7:C9">
      <formula1>$G$7:$G$9</formula1>
    </dataValidation>
  </dataValidation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sheetPr>
    <tabColor rgb="FFFF0000"/>
  </sheetPr>
  <dimension ref="A1:L56"/>
  <sheetViews>
    <sheetView zoomScale="70" zoomScaleNormal="70" workbookViewId="0">
      <selection activeCell="C7" sqref="C7:C9"/>
    </sheetView>
  </sheetViews>
  <sheetFormatPr defaultRowHeight="15"/>
  <cols>
    <col min="2" max="2" width="26" customWidth="1"/>
    <col min="3" max="3" width="58.5703125" customWidth="1"/>
    <col min="4" max="4" width="28.5703125" customWidth="1"/>
    <col min="5" max="5" width="0.140625" customWidth="1"/>
    <col min="6" max="6" width="0.42578125" customWidth="1"/>
    <col min="7" max="11" width="9.140625" hidden="1" customWidth="1"/>
    <col min="12" max="12" width="12" hidden="1" customWidth="1"/>
    <col min="13" max="13" width="9.140625" customWidth="1"/>
  </cols>
  <sheetData>
    <row r="1" spans="1:12" ht="20.25">
      <c r="A1" s="56" t="s">
        <v>0</v>
      </c>
      <c r="B1" s="56"/>
      <c r="C1" s="56"/>
      <c r="D1" s="56"/>
      <c r="E1" s="56"/>
    </row>
    <row r="2" spans="1:12" ht="18.75">
      <c r="A2" s="57" t="s">
        <v>1</v>
      </c>
      <c r="B2" s="57"/>
      <c r="C2" s="57"/>
      <c r="D2" s="57"/>
      <c r="E2" s="57"/>
    </row>
    <row r="3" spans="1:12" ht="18.75" customHeight="1">
      <c r="A3" s="58" t="s">
        <v>268</v>
      </c>
      <c r="B3" s="57"/>
      <c r="C3" s="57"/>
      <c r="D3" s="57"/>
      <c r="E3" s="57"/>
    </row>
    <row r="4" spans="1:12" ht="16.5" thickBot="1">
      <c r="A4" s="59"/>
      <c r="B4" s="59"/>
      <c r="C4" s="59"/>
      <c r="D4" s="59"/>
      <c r="E4" s="59"/>
    </row>
    <row r="5" spans="1:12" ht="15.75" customHeight="1">
      <c r="A5" s="2" t="s">
        <v>3</v>
      </c>
      <c r="B5" s="60" t="s">
        <v>54</v>
      </c>
      <c r="C5" s="60" t="s">
        <v>55</v>
      </c>
      <c r="D5" s="60" t="s">
        <v>42</v>
      </c>
    </row>
    <row r="6" spans="1:12" ht="16.5" thickBot="1">
      <c r="A6" s="4" t="s">
        <v>4</v>
      </c>
      <c r="B6" s="61"/>
      <c r="C6" s="61"/>
      <c r="D6" s="61"/>
    </row>
    <row r="7" spans="1:12" ht="15" customHeight="1">
      <c r="A7" s="39" t="s">
        <v>5</v>
      </c>
      <c r="B7" s="44" t="s">
        <v>6</v>
      </c>
      <c r="C7" s="44" t="s">
        <v>343</v>
      </c>
      <c r="D7" s="44">
        <f>IF(IFERROR(SEARCH("подразделения ≥ 4,5", C7), 0) &gt; 0, 5, IF(IFERROR(SEARCH("подразделения ≥ 4,0", C7), 0) &gt; 0, 3, IF(IFERROR(SEARCH("&lt;", C7), 0) &gt; 0, 0,)))</f>
        <v>3</v>
      </c>
      <c r="F7">
        <v>5</v>
      </c>
      <c r="G7" s="16" t="s">
        <v>344</v>
      </c>
    </row>
    <row r="8" spans="1:12" ht="15" customHeight="1">
      <c r="A8" s="51"/>
      <c r="B8" s="54"/>
      <c r="C8" s="52"/>
      <c r="D8" s="52"/>
      <c r="F8">
        <v>3</v>
      </c>
      <c r="G8" s="17" t="s">
        <v>343</v>
      </c>
    </row>
    <row r="9" spans="1:12" ht="18.75" customHeight="1" thickBot="1">
      <c r="A9" s="40"/>
      <c r="B9" s="55"/>
      <c r="C9" s="45"/>
      <c r="D9" s="45"/>
      <c r="F9">
        <v>0</v>
      </c>
      <c r="G9" s="18" t="s">
        <v>345</v>
      </c>
    </row>
    <row r="10" spans="1:12" ht="15" customHeight="1">
      <c r="A10" s="39" t="s">
        <v>7</v>
      </c>
      <c r="B10" s="44" t="s">
        <v>8</v>
      </c>
      <c r="C10" s="44" t="s">
        <v>259</v>
      </c>
      <c r="D10" s="44">
        <f>IF(C10="Академические задолжности отсутствуют",10,0)</f>
        <v>10</v>
      </c>
      <c r="F10">
        <v>10</v>
      </c>
    </row>
    <row r="11" spans="1:12" ht="15.75" customHeight="1" thickBot="1">
      <c r="A11" s="40"/>
      <c r="B11" s="45"/>
      <c r="C11" s="45"/>
      <c r="D11" s="45"/>
      <c r="F11">
        <v>0</v>
      </c>
    </row>
    <row r="12" spans="1:12" ht="15" customHeight="1">
      <c r="A12" s="39" t="s">
        <v>9</v>
      </c>
      <c r="B12" s="44" t="s">
        <v>10</v>
      </c>
      <c r="C12" s="44" t="s">
        <v>266</v>
      </c>
      <c r="D12" s="44">
        <f>IF(C12="В подразделении и у КУГ отсутствуют текущие задолжности",5,IF(C12="Имеются менее 20% текущих задолжностей в подразделении или у КУГ",3,IF(C12="Имеются более 20% текущих задолжностей в подразделении или у КУГ",0,)))</f>
        <v>5</v>
      </c>
      <c r="F12">
        <v>5</v>
      </c>
    </row>
    <row r="13" spans="1:12" ht="15" customHeight="1">
      <c r="A13" s="51"/>
      <c r="B13" s="52"/>
      <c r="C13" s="52"/>
      <c r="D13" s="52"/>
      <c r="F13">
        <v>3</v>
      </c>
    </row>
    <row r="14" spans="1:12" ht="15.75" customHeight="1" thickBot="1">
      <c r="A14" s="40"/>
      <c r="B14" s="45"/>
      <c r="C14" s="45"/>
      <c r="D14" s="45"/>
      <c r="F14">
        <v>0</v>
      </c>
    </row>
    <row r="15" spans="1:12" ht="15" customHeight="1">
      <c r="A15" s="39" t="s">
        <v>11</v>
      </c>
      <c r="B15" s="44" t="s">
        <v>39</v>
      </c>
      <c r="C15" s="64" t="s">
        <v>77</v>
      </c>
      <c r="D15" s="44">
        <f>IF(C15="Подразделение прибыло на занятие своевременно; дежурный по аудитории назначен; ЖУУЗ и классная доска оформлены; литература, конспекты, ПЭВМ (по необходимости) получены; внутренний порядок в аудитории поддерживается",5,IF(C15="Подразделение прибыло на занятие своевременно; дежурный по аудитории назначен; литература, конспекты, ПЭВМ (по необходимости) получены; ЖУУЗ или классная доска оформлены не своевременно; или имеются отклонения по  внутреннему порядку в аудитории",3,IF(C15="одразделение опоздало на занятие; или ЖУУЗ и классная доска не оформлены; литература, конспекты, ПЭВМ (по необходимости) не получены; или внутренний порядок в аудитории не поддерживается ",0,)))</f>
        <v>3</v>
      </c>
      <c r="F15">
        <v>5</v>
      </c>
      <c r="L15" s="13" t="s">
        <v>40</v>
      </c>
    </row>
    <row r="16" spans="1:12" ht="15" customHeight="1">
      <c r="A16" s="51"/>
      <c r="B16" s="52"/>
      <c r="C16" s="62"/>
      <c r="D16" s="52"/>
      <c r="F16">
        <v>3</v>
      </c>
      <c r="L16" s="13" t="s">
        <v>77</v>
      </c>
    </row>
    <row r="17" spans="1:12" ht="52.5" customHeight="1" thickBot="1">
      <c r="A17" s="40"/>
      <c r="B17" s="45"/>
      <c r="C17" s="63"/>
      <c r="D17" s="45"/>
      <c r="F17">
        <v>0</v>
      </c>
      <c r="L17" t="s">
        <v>78</v>
      </c>
    </row>
    <row r="18" spans="1:12" ht="15" customHeight="1" thickBot="1">
      <c r="A18" s="39" t="s">
        <v>13</v>
      </c>
      <c r="B18" s="44" t="s">
        <v>41</v>
      </c>
      <c r="C18" s="64" t="s">
        <v>80</v>
      </c>
      <c r="D18" s="44">
        <f>IF(IFERROR(SEARCH("30%", C18), 0) &gt; 0, 5, IF(IFERROR(SEARCH("10%", C18), 0) &gt; 0, 3, IF(IFERROR(SEARCH("не получены", C18), 0) &gt; 0, 0,)))</f>
        <v>3</v>
      </c>
      <c r="F18">
        <v>10</v>
      </c>
      <c r="L18" s="14" t="s">
        <v>79</v>
      </c>
    </row>
    <row r="19" spans="1:12" ht="15" customHeight="1">
      <c r="A19" s="51"/>
      <c r="B19" s="52"/>
      <c r="C19" s="62"/>
      <c r="D19" s="52"/>
      <c r="F19">
        <v>2</v>
      </c>
      <c r="L19" s="13" t="s">
        <v>80</v>
      </c>
    </row>
    <row r="20" spans="1:12" ht="105" customHeight="1" thickBot="1">
      <c r="A20" s="40"/>
      <c r="B20" s="45"/>
      <c r="C20" s="63"/>
      <c r="D20" s="45"/>
      <c r="F20">
        <v>0</v>
      </c>
      <c r="L20" s="13" t="s">
        <v>81</v>
      </c>
    </row>
    <row r="21" spans="1:12" ht="15" customHeight="1">
      <c r="A21" s="39" t="s">
        <v>15</v>
      </c>
      <c r="B21" s="44" t="s">
        <v>12</v>
      </c>
      <c r="C21" s="41" t="s">
        <v>73</v>
      </c>
      <c r="D21" s="44">
        <f>IF(C21="Замечания в подразделении и у КУГ отсутствуют",5,IF(C21="В подразделении 2 замечания у КУГ отсутствуют",3,IF(C21="В подразделении 3 и более замечаний или замечания у КУГ",0,)))</f>
        <v>5</v>
      </c>
      <c r="F21">
        <v>5</v>
      </c>
    </row>
    <row r="22" spans="1:12" ht="15.75" customHeight="1">
      <c r="A22" s="51"/>
      <c r="B22" s="52"/>
      <c r="C22" s="53"/>
      <c r="D22" s="52"/>
      <c r="F22">
        <v>0</v>
      </c>
    </row>
    <row r="23" spans="1:12" ht="82.5" customHeight="1" thickBot="1">
      <c r="A23" s="40"/>
      <c r="B23" s="45"/>
      <c r="C23" s="43"/>
      <c r="D23" s="45"/>
      <c r="F23">
        <v>10</v>
      </c>
    </row>
    <row r="24" spans="1:12" ht="15" customHeight="1">
      <c r="A24" s="39" t="s">
        <v>17</v>
      </c>
      <c r="B24" s="44" t="s">
        <v>14</v>
      </c>
      <c r="C24" s="41" t="s">
        <v>262</v>
      </c>
      <c r="D24" s="44">
        <f>IF(C24="ПРО, ПРЕ, ГДП в подразделении и КУГ отсутствуют",10,IF(C24="ПРО, ПРЕ отсутствуют, имеются не снятые взыскания за ГДП в подразделении, у КУГ отсутствуют",2,IF(C24="Совершено ПРО, ПРЕ, ГДП в подразделении или КУГ или допущено сокрытие",0,)))</f>
        <v>10</v>
      </c>
      <c r="F24">
        <v>5</v>
      </c>
    </row>
    <row r="25" spans="1:12" ht="15.75" customHeight="1">
      <c r="A25" s="51"/>
      <c r="B25" s="52"/>
      <c r="C25" s="53"/>
      <c r="D25" s="52"/>
      <c r="F25">
        <v>0</v>
      </c>
    </row>
    <row r="26" spans="1:12" ht="52.5" customHeight="1" thickBot="1">
      <c r="A26" s="40"/>
      <c r="B26" s="45"/>
      <c r="C26" s="43"/>
      <c r="D26" s="45"/>
      <c r="F26">
        <v>3</v>
      </c>
    </row>
    <row r="27" spans="1:12" ht="15.75" customHeight="1">
      <c r="A27" s="39" t="s">
        <v>20</v>
      </c>
      <c r="B27" s="44" t="s">
        <v>16</v>
      </c>
      <c r="C27" s="41" t="s">
        <v>57</v>
      </c>
      <c r="D27" s="44">
        <f>IF(C27="Дисциплинарная практика к подчиненному личному составу ведется",5,0)</f>
        <v>5</v>
      </c>
      <c r="F27">
        <v>0</v>
      </c>
    </row>
    <row r="28" spans="1:12" ht="15" customHeight="1" thickBot="1">
      <c r="A28" s="40"/>
      <c r="B28" s="45"/>
      <c r="C28" s="43"/>
      <c r="D28" s="45"/>
      <c r="F28">
        <v>5</v>
      </c>
    </row>
    <row r="29" spans="1:12" ht="15" customHeight="1">
      <c r="A29" s="39" t="s">
        <v>23</v>
      </c>
      <c r="B29" s="44" t="s">
        <v>18</v>
      </c>
      <c r="C29" s="41" t="s">
        <v>60</v>
      </c>
      <c r="D29" s="44">
        <f>IF(C29="Обстановкой владеет, доклады представляет, книжка сержантов актуальна",10,IF(C29="Обстановкой владеет, доклады представляет, книжка сержантов не актуальна",5,IF(C29="Обстановкой не владеет, доклады не представляет, книжка сержантов не актуальна",0,)))</f>
        <v>10</v>
      </c>
      <c r="F29">
        <v>3</v>
      </c>
    </row>
    <row r="30" spans="1:12" ht="15.75" customHeight="1">
      <c r="A30" s="51"/>
      <c r="B30" s="52"/>
      <c r="C30" s="53"/>
      <c r="D30" s="52"/>
      <c r="F30">
        <v>0</v>
      </c>
    </row>
    <row r="31" spans="1:12" ht="105" customHeight="1" thickBot="1">
      <c r="A31" s="40"/>
      <c r="B31" s="45"/>
      <c r="C31" s="43"/>
      <c r="D31" s="45"/>
      <c r="F31">
        <v>10</v>
      </c>
    </row>
    <row r="32" spans="1:12" ht="26.25" customHeight="1">
      <c r="A32" s="39" t="s">
        <v>25</v>
      </c>
      <c r="B32" s="44" t="s">
        <v>21</v>
      </c>
      <c r="C32" s="41" t="s">
        <v>75</v>
      </c>
      <c r="D32" s="44">
        <f>IF(C32="Подведение итогов актуально, поставлены конкретные задачи и проводится в установленное время",3,0)</f>
        <v>3</v>
      </c>
      <c r="F32">
        <v>0</v>
      </c>
    </row>
    <row r="33" spans="1:6" ht="30" customHeight="1" thickBot="1">
      <c r="A33" s="40"/>
      <c r="B33" s="45"/>
      <c r="C33" s="43"/>
      <c r="D33" s="45"/>
      <c r="F33">
        <v>10</v>
      </c>
    </row>
    <row r="34" spans="1:6" ht="15" customHeight="1">
      <c r="A34" s="51" t="s">
        <v>27</v>
      </c>
      <c r="B34" s="52" t="s">
        <v>43</v>
      </c>
      <c r="C34" s="41" t="s">
        <v>263</v>
      </c>
      <c r="D34" s="62">
        <f>IF(C34="Увольнения распределены равномерно",2,0)</f>
        <v>2</v>
      </c>
      <c r="F34">
        <v>5</v>
      </c>
    </row>
    <row r="35" spans="1:6" ht="15.75" customHeight="1" thickBot="1">
      <c r="A35" s="40"/>
      <c r="B35" s="45"/>
      <c r="C35" s="43"/>
      <c r="D35" s="63"/>
      <c r="F35">
        <v>0</v>
      </c>
    </row>
    <row r="36" spans="1:6" ht="15" customHeight="1">
      <c r="A36" s="39" t="s">
        <v>29</v>
      </c>
      <c r="B36" s="44" t="s">
        <v>44</v>
      </c>
      <c r="C36" s="44" t="s">
        <v>61</v>
      </c>
      <c r="D36" s="64">
        <f>IF(C36="Наряды и уборщики распределены равномерно",2,IF(C36="Наряды распределены равномерно, уборщики не равномерно",1,IF(C36="Наряды и уборщики распределены не равномерно",0,)))</f>
        <v>2</v>
      </c>
      <c r="F36">
        <v>5</v>
      </c>
    </row>
    <row r="37" spans="1:6" ht="15.75" customHeight="1">
      <c r="A37" s="51"/>
      <c r="B37" s="52"/>
      <c r="C37" s="52"/>
      <c r="D37" s="62"/>
      <c r="F37">
        <v>0</v>
      </c>
    </row>
    <row r="38" spans="1:6" ht="38.25" customHeight="1" thickBot="1">
      <c r="A38" s="40"/>
      <c r="B38" s="45"/>
      <c r="C38" s="45"/>
      <c r="D38" s="63"/>
      <c r="F38">
        <v>2</v>
      </c>
    </row>
    <row r="39" spans="1:6" ht="15.75" customHeight="1">
      <c r="A39" s="39" t="s">
        <v>32</v>
      </c>
      <c r="B39" s="44" t="s">
        <v>24</v>
      </c>
      <c r="C39" s="41" t="s">
        <v>264</v>
      </c>
      <c r="D39" s="44">
        <f>IF(C39="Замечания у подчиненного л/с отсутствуют, КУГ оценен не ниже «хорошо»",5,IF(C39="Выявлено не более 2 замечаний у подчиненного л/с, КУГ оценен не ниже «хорошо»",3,IF(C39="Л/с отстранен или выявлено более 2 замечаний, КУГ оценен ниже «хорошо»",0,)))</f>
        <v>5</v>
      </c>
      <c r="F39">
        <v>1</v>
      </c>
    </row>
    <row r="40" spans="1:6" ht="15" customHeight="1">
      <c r="A40" s="51"/>
      <c r="B40" s="52"/>
      <c r="C40" s="53"/>
      <c r="D40" s="52"/>
    </row>
    <row r="41" spans="1:6" ht="40.5" customHeight="1" thickBot="1">
      <c r="A41" s="40"/>
      <c r="B41" s="45"/>
      <c r="C41" s="43"/>
      <c r="D41" s="45"/>
    </row>
    <row r="42" spans="1:6">
      <c r="A42" s="39" t="s">
        <v>45</v>
      </c>
      <c r="B42" s="44" t="s">
        <v>26</v>
      </c>
      <c r="C42" s="41" t="s">
        <v>65</v>
      </c>
      <c r="D42" s="44">
        <f>IF(C42="Нарушений ТБ, приведших к травматизму л/с нет",10,0)</f>
        <v>10</v>
      </c>
    </row>
    <row r="43" spans="1:6" ht="44.25" customHeight="1" thickBot="1">
      <c r="A43" s="40"/>
      <c r="B43" s="45"/>
      <c r="C43" s="43"/>
      <c r="D43" s="45"/>
    </row>
    <row r="44" spans="1:6">
      <c r="A44" s="39" t="s">
        <v>46</v>
      </c>
      <c r="B44" s="44" t="s">
        <v>28</v>
      </c>
      <c r="C44" s="41" t="s">
        <v>52</v>
      </c>
      <c r="D44" s="44">
        <f>IF(C44="Элементы распорядка дня соблюдаются",10,IF(C44="Не более пяти нарушений распорядка дня, срывов мероприятий не допущено",5,IF(C44="Более пяти нарушений элементов распорядка дня или мероприятие сорвано",0,)))</f>
        <v>10</v>
      </c>
    </row>
    <row r="45" spans="1:6">
      <c r="A45" s="51"/>
      <c r="B45" s="52"/>
      <c r="C45" s="53"/>
      <c r="D45" s="52"/>
    </row>
    <row r="46" spans="1:6" ht="15.75" thickBot="1">
      <c r="A46" s="40"/>
      <c r="B46" s="45"/>
      <c r="C46" s="43"/>
      <c r="D46" s="45"/>
    </row>
    <row r="47" spans="1:6">
      <c r="A47" s="39" t="s">
        <v>47</v>
      </c>
      <c r="B47" s="44" t="s">
        <v>30</v>
      </c>
      <c r="C47" s="41" t="s">
        <v>31</v>
      </c>
      <c r="D47" s="44">
        <f>IF(C47="Материальные средства подразделения в наличии, исправны, обслужены, хранятся правильно",5,0)</f>
        <v>5</v>
      </c>
    </row>
    <row r="48" spans="1:6" ht="45" customHeight="1" thickBot="1">
      <c r="A48" s="40"/>
      <c r="B48" s="45"/>
      <c r="C48" s="43"/>
      <c r="D48" s="45"/>
    </row>
    <row r="49" spans="1:5">
      <c r="A49" s="39" t="s">
        <v>48</v>
      </c>
      <c r="B49" s="44" t="s">
        <v>33</v>
      </c>
      <c r="C49" s="41" t="s">
        <v>49</v>
      </c>
      <c r="D49" s="44">
        <f>IF(C49="Оценка по физической подготовке (культуре) - 5",2,1)</f>
        <v>2</v>
      </c>
    </row>
    <row r="50" spans="1:5" ht="97.5" customHeight="1" thickBot="1">
      <c r="A50" s="40"/>
      <c r="B50" s="45"/>
      <c r="C50" s="43"/>
      <c r="D50" s="45"/>
    </row>
    <row r="51" spans="1:5" ht="15.75">
      <c r="A51" s="46" t="s">
        <v>34</v>
      </c>
      <c r="B51" s="47"/>
      <c r="C51" s="47"/>
      <c r="D51" s="50">
        <f>SUM(D7:D50)</f>
        <v>93</v>
      </c>
      <c r="E51" s="8"/>
    </row>
    <row r="52" spans="1:5" ht="16.5" thickBot="1">
      <c r="A52" s="48"/>
      <c r="B52" s="49"/>
      <c r="C52" s="49"/>
      <c r="D52" s="42"/>
      <c r="E52" s="8"/>
    </row>
    <row r="54" spans="1:5" ht="20.25">
      <c r="A54" s="37" t="s">
        <v>35</v>
      </c>
      <c r="B54" s="37"/>
      <c r="C54" s="37"/>
      <c r="D54" s="37"/>
      <c r="E54" s="37"/>
    </row>
    <row r="55" spans="1:5" ht="20.25">
      <c r="A55" s="38" t="s">
        <v>36</v>
      </c>
      <c r="B55" s="38"/>
      <c r="C55" s="38"/>
      <c r="D55" s="38"/>
      <c r="E55" s="38"/>
    </row>
    <row r="56" spans="1:5" ht="21">
      <c r="A56" s="9"/>
      <c r="B56" s="9"/>
      <c r="C56" s="10" t="s">
        <v>37</v>
      </c>
      <c r="D56" s="5"/>
      <c r="E56" s="9"/>
    </row>
  </sheetData>
  <mergeCells count="79">
    <mergeCell ref="A1:E1"/>
    <mergeCell ref="A2:E2"/>
    <mergeCell ref="A3:E3"/>
    <mergeCell ref="A4:E4"/>
    <mergeCell ref="B5:B6"/>
    <mergeCell ref="C5:C6"/>
    <mergeCell ref="D5:D6"/>
    <mergeCell ref="A7:A9"/>
    <mergeCell ref="B7:B9"/>
    <mergeCell ref="C7:C9"/>
    <mergeCell ref="D7:D9"/>
    <mergeCell ref="A10:A11"/>
    <mergeCell ref="B10:B11"/>
    <mergeCell ref="C10:C11"/>
    <mergeCell ref="D10:D11"/>
    <mergeCell ref="A12:A14"/>
    <mergeCell ref="B12:B14"/>
    <mergeCell ref="C12:C14"/>
    <mergeCell ref="D12:D14"/>
    <mergeCell ref="A15:A17"/>
    <mergeCell ref="B15:B17"/>
    <mergeCell ref="C15:C17"/>
    <mergeCell ref="D15:D17"/>
    <mergeCell ref="A18:A20"/>
    <mergeCell ref="B18:B20"/>
    <mergeCell ref="C18:C20"/>
    <mergeCell ref="D18:D20"/>
    <mergeCell ref="A21:A23"/>
    <mergeCell ref="B21:B23"/>
    <mergeCell ref="C21:C23"/>
    <mergeCell ref="D21:D23"/>
    <mergeCell ref="A24:A26"/>
    <mergeCell ref="B24:B26"/>
    <mergeCell ref="C24:C26"/>
    <mergeCell ref="D24:D26"/>
    <mergeCell ref="A27:A28"/>
    <mergeCell ref="B27:B28"/>
    <mergeCell ref="C27:C28"/>
    <mergeCell ref="D27:D28"/>
    <mergeCell ref="A29:A31"/>
    <mergeCell ref="B29:B31"/>
    <mergeCell ref="C29:C31"/>
    <mergeCell ref="D29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8"/>
    <mergeCell ref="B36:B38"/>
    <mergeCell ref="C36:C38"/>
    <mergeCell ref="D36:D38"/>
    <mergeCell ref="A39:A41"/>
    <mergeCell ref="B39:B41"/>
    <mergeCell ref="C39:C41"/>
    <mergeCell ref="D39:D41"/>
    <mergeCell ref="A42:A43"/>
    <mergeCell ref="B42:B43"/>
    <mergeCell ref="C42:C43"/>
    <mergeCell ref="D42:D43"/>
    <mergeCell ref="A44:A46"/>
    <mergeCell ref="B44:B46"/>
    <mergeCell ref="C44:C46"/>
    <mergeCell ref="D44:D46"/>
    <mergeCell ref="A47:A48"/>
    <mergeCell ref="B47:B48"/>
    <mergeCell ref="C47:C48"/>
    <mergeCell ref="D47:D48"/>
    <mergeCell ref="A54:E54"/>
    <mergeCell ref="A55:E55"/>
    <mergeCell ref="A49:A50"/>
    <mergeCell ref="B49:B50"/>
    <mergeCell ref="C49:C50"/>
    <mergeCell ref="D49:D50"/>
    <mergeCell ref="A51:C52"/>
    <mergeCell ref="D51:D52"/>
  </mergeCells>
  <dataValidations count="17">
    <dataValidation type="list" allowBlank="1" showInputMessage="1" showErrorMessage="1" sqref="C18:C20">
      <formula1>$L$18:$L$20</formula1>
    </dataValidation>
    <dataValidation type="list" allowBlank="1" showInputMessage="1" showErrorMessage="1" sqref="C49:C50">
      <formula1>"Оценка по физической подготовке (культуре) - 5,Оценка по физической подготовке (культуре) - 4"</formula1>
    </dataValidation>
    <dataValidation type="list" allowBlank="1" showInputMessage="1" showErrorMessage="1" sqref="C47:C48">
      <formula1>"Материальные средства подразделения в наличии, исправны, обслужены, хранятся правильно,Не выполнены предъявляемые критерии "</formula1>
    </dataValidation>
    <dataValidation type="list" allowBlank="1" showInputMessage="1" showErrorMessage="1" sqref="C44:C46">
      <formula1>"Элементы распорядка дня соблюдаются,Не более пяти нарушений распорядка дня, срывов мероприятий не допущено,Более пяти нарушений элементов распорядка дня или мероприятие сорвано"</formula1>
    </dataValidation>
    <dataValidation type="list" allowBlank="1" showInputMessage="1" showErrorMessage="1" sqref="C42:C43">
      <formula1>"Нарушений ТБ, приведших к травматизму л/с нет,Есть нарушения ТБ, приведших к травматизму л/с"</formula1>
    </dataValidation>
    <dataValidation type="list" allowBlank="1" showInputMessage="1" showErrorMessage="1" sqref="C39:C41">
      <formula1>"Замечания у подчиненного л/с отсутствуют, КУГ оценен не ниже «хорошо»,Выявлено не более 2 замечаний у подчиненного л/с, КУГ оценен не ниже «хорошо»,Л/с отстранен или выявлено более 2 замечаний, КУГ оценен ниже «хорошо»,"</formula1>
    </dataValidation>
    <dataValidation type="list" allowBlank="1" showInputMessage="1" showErrorMessage="1" sqref="C36:C38">
      <formula1>"Наряды и уборщики распределены равномерно,Наряды распределены равномерно, уборщики не равномерно,Наряды и уборщики распределены не равномерно"</formula1>
    </dataValidation>
    <dataValidation type="list" allowBlank="1" showInputMessage="1" showErrorMessage="1" sqref="C34:C35">
      <formula1>"Увольнения распределены равномерно,Увольнения распределяются не равномерно"</formula1>
    </dataValidation>
    <dataValidation type="list" allowBlank="1" showInputMessage="1" showErrorMessage="1" sqref="C32:C33">
      <formula1>"Подведение итогов актуально, поставлены конкретные задачи и проводится в установленное время,Подведение итогов не актуально, не поставлены задачи или не проводится"</formula1>
    </dataValidation>
    <dataValidation type="list" allowBlank="1" showInputMessage="1" showErrorMessage="1" sqref="C29:C31">
      <formula1>"Обстановкой владеет, доклады представляет, книжка сержантов актуальна,Обстановкой владеет, доклады представляет, книжка сержантов не актуальна,Обстановкой не владеет, доклады не представляет, книжка сержантов не актуальна"</formula1>
    </dataValidation>
    <dataValidation type="list" allowBlank="1" showInputMessage="1" showErrorMessage="1" sqref="C27:C28">
      <formula1>"Дисциплинарная практика к подчиненному личному составу ведется,Дисциплинарная практика к подчиненному личному составу не реализуется или КУГ имеет дисциплинарные взыскания"</formula1>
    </dataValidation>
    <dataValidation type="list" allowBlank="1" showInputMessage="1" showErrorMessage="1" sqref="C24:C26">
      <formula1>"ПРО, ПРЕ, ГДП в подразделении и КУГ отсутствуют, ПРО, ПРЕ отсутствуют, имеются не снятые взыскания за ГДП в подразделении, у КУГ отсутствуют, Совершено ПРО, ПРЕ, ГДП в подразделении или КУГ или допущено сокрытие"</formula1>
    </dataValidation>
    <dataValidation type="list" allowBlank="1" showInputMessage="1" showErrorMessage="1" sqref="C21:C23">
      <formula1>"Замечания в подразделении и у КУГ отсутствуют,В подразделении 2 замечания у КУГ отсутствуют,В подразделении 3 и более замечаний или замечания у КУГ"</formula1>
    </dataValidation>
    <dataValidation type="list" allowBlank="1" showInputMessage="1" showErrorMessage="1" sqref="C15:C17">
      <formula1>$L$15:$L$17</formula1>
    </dataValidation>
    <dataValidation type="list" allowBlank="1" showInputMessage="1" showErrorMessage="1" sqref="C12:C14">
      <formula1>"В подразделении и у КУГ отсутствуют текущие задолжности,Имеются менее 20% текущих задолжностей в подразделении или у КУГ,Имеются более 20% текущих задолжностей в подразделении или у КУГ"</formula1>
    </dataValidation>
    <dataValidation type="list" allowBlank="1" showInputMessage="1" showErrorMessage="1" sqref="C10:C11">
      <formula1>"Академические задолжности отсутствуют, Имеются академические задолжности в учебной группе или у КУГ"</formula1>
    </dataValidation>
    <dataValidation type="list" allowBlank="1" showInputMessage="1" showErrorMessage="1" sqref="C7:C9">
      <formula1>$G$7:$G$9</formula1>
    </dataValidation>
  </dataValidations>
  <pageMargins left="0.7" right="0.7" top="0.75" bottom="0.75" header="0.3" footer="0.3"/>
  <pageSetup paperSize="9" orientation="portrait" verticalDpi="0" r:id="rId1"/>
</worksheet>
</file>

<file path=xl/worksheets/sheet62.xml><?xml version="1.0" encoding="utf-8"?>
<worksheet xmlns="http://schemas.openxmlformats.org/spreadsheetml/2006/main" xmlns:r="http://schemas.openxmlformats.org/officeDocument/2006/relationships">
  <sheetPr>
    <tabColor rgb="FFFF0000"/>
  </sheetPr>
  <dimension ref="A1:U46"/>
  <sheetViews>
    <sheetView topLeftCell="A25" zoomScale="85" zoomScaleNormal="85" workbookViewId="0">
      <selection activeCell="C18" sqref="C18:C20"/>
    </sheetView>
  </sheetViews>
  <sheetFormatPr defaultRowHeight="15"/>
  <cols>
    <col min="2" max="2" width="26" customWidth="1"/>
    <col min="3" max="3" width="58.5703125" customWidth="1"/>
    <col min="4" max="4" width="28.42578125" customWidth="1"/>
    <col min="5" max="5" width="24.140625" hidden="1" customWidth="1"/>
    <col min="6" max="6" width="24" hidden="1" customWidth="1"/>
    <col min="7" max="7" width="19.42578125" hidden="1" customWidth="1"/>
    <col min="8" max="8" width="18.42578125" customWidth="1"/>
  </cols>
  <sheetData>
    <row r="1" spans="1:21" ht="20.25">
      <c r="A1" s="56" t="s">
        <v>0</v>
      </c>
      <c r="B1" s="56"/>
      <c r="C1" s="56"/>
      <c r="D1" s="56"/>
      <c r="E1" s="56"/>
    </row>
    <row r="2" spans="1:21" ht="18.75">
      <c r="A2" s="57" t="s">
        <v>1</v>
      </c>
      <c r="B2" s="57"/>
      <c r="C2" s="57"/>
      <c r="D2" s="57"/>
      <c r="E2" s="57"/>
    </row>
    <row r="3" spans="1:21" ht="18.75" customHeight="1">
      <c r="A3" s="58" t="s">
        <v>2</v>
      </c>
      <c r="B3" s="58"/>
      <c r="C3" s="58"/>
      <c r="D3" s="58"/>
      <c r="E3" s="58"/>
    </row>
    <row r="4" spans="1:21" ht="16.5" thickBot="1">
      <c r="A4" s="59"/>
      <c r="B4" s="59"/>
      <c r="C4" s="59"/>
      <c r="D4" s="59"/>
      <c r="E4" s="59"/>
    </row>
    <row r="5" spans="1:21" ht="15.75">
      <c r="A5" s="2" t="s">
        <v>3</v>
      </c>
      <c r="B5" s="60" t="s">
        <v>54</v>
      </c>
      <c r="C5" s="60" t="s">
        <v>55</v>
      </c>
      <c r="D5" s="60" t="s">
        <v>42</v>
      </c>
    </row>
    <row r="6" spans="1:21" ht="16.5" thickBot="1">
      <c r="A6" s="4" t="s">
        <v>4</v>
      </c>
      <c r="B6" s="61"/>
      <c r="C6" s="61"/>
      <c r="D6" s="61"/>
    </row>
    <row r="7" spans="1:21" ht="13.5" customHeight="1">
      <c r="A7" s="39" t="s">
        <v>5</v>
      </c>
      <c r="B7" s="44" t="s">
        <v>6</v>
      </c>
      <c r="C7" s="44" t="s">
        <v>83</v>
      </c>
      <c r="D7" s="44">
        <f>IF(IFERROR(SEARCH("подразделения ≥ 4,5", C7), 0) &gt; 0, 5, IF(IFERROR(SEARCH("подразделения ≥ 4,0", C7), 0) &gt; 0, 3, IF(IFERROR(SEARCH("&lt;", C7), 0) &gt; 0, 0,)))</f>
        <v>3</v>
      </c>
      <c r="F7">
        <v>5</v>
      </c>
      <c r="G7" s="16" t="s">
        <v>82</v>
      </c>
      <c r="N7" s="15"/>
      <c r="U7" s="15"/>
    </row>
    <row r="8" spans="1:21" ht="20.25" customHeight="1">
      <c r="A8" s="51"/>
      <c r="B8" s="54"/>
      <c r="C8" s="52"/>
      <c r="D8" s="52"/>
      <c r="F8">
        <v>3</v>
      </c>
      <c r="G8" s="17" t="s">
        <v>83</v>
      </c>
      <c r="N8" s="13"/>
      <c r="U8" s="13"/>
    </row>
    <row r="9" spans="1:21" ht="18" customHeight="1" thickBot="1">
      <c r="A9" s="40"/>
      <c r="B9" s="55"/>
      <c r="C9" s="45"/>
      <c r="D9" s="45"/>
      <c r="F9">
        <v>0</v>
      </c>
      <c r="G9" s="18" t="s">
        <v>84</v>
      </c>
    </row>
    <row r="10" spans="1:21">
      <c r="A10" s="39" t="s">
        <v>7</v>
      </c>
      <c r="B10" s="44" t="s">
        <v>8</v>
      </c>
      <c r="C10" s="44" t="s">
        <v>85</v>
      </c>
      <c r="D10" s="44">
        <f>IF(IFERROR(SEARCH("отсутствуют", C10), 0) &gt; 0, 10, IF(IFERROR(SEARCH("имеются", C10), 0) &gt; 0, 0, ))</f>
        <v>10</v>
      </c>
      <c r="F10">
        <v>10</v>
      </c>
      <c r="G10" t="s">
        <v>85</v>
      </c>
    </row>
    <row r="11" spans="1:21" ht="24.75" customHeight="1" thickBot="1">
      <c r="A11" s="40"/>
      <c r="B11" s="45"/>
      <c r="C11" s="45"/>
      <c r="D11" s="45"/>
      <c r="F11">
        <v>0</v>
      </c>
      <c r="G11" s="13" t="s">
        <v>86</v>
      </c>
    </row>
    <row r="12" spans="1:21" ht="18" customHeight="1" thickBot="1">
      <c r="A12" s="39" t="s">
        <v>9</v>
      </c>
      <c r="B12" s="44" t="s">
        <v>10</v>
      </c>
      <c r="C12" s="44" t="s">
        <v>87</v>
      </c>
      <c r="D12" s="44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>5</v>
      </c>
      <c r="F12">
        <v>5</v>
      </c>
      <c r="G12" s="14" t="s">
        <v>87</v>
      </c>
    </row>
    <row r="13" spans="1:21" ht="15.75">
      <c r="A13" s="51"/>
      <c r="B13" s="52"/>
      <c r="C13" s="52"/>
      <c r="D13" s="52"/>
      <c r="F13">
        <v>3</v>
      </c>
      <c r="G13" s="13" t="s">
        <v>88</v>
      </c>
    </row>
    <row r="14" spans="1:21" ht="16.5" thickBot="1">
      <c r="A14" s="40"/>
      <c r="B14" s="45"/>
      <c r="C14" s="45"/>
      <c r="D14" s="45"/>
      <c r="F14">
        <v>0</v>
      </c>
      <c r="G14" s="13" t="s">
        <v>89</v>
      </c>
    </row>
    <row r="15" spans="1:21" ht="15.75">
      <c r="A15" s="39" t="s">
        <v>11</v>
      </c>
      <c r="B15" s="44" t="s">
        <v>12</v>
      </c>
      <c r="C15" s="41" t="s">
        <v>91</v>
      </c>
      <c r="D15" s="44">
        <f>IF(IFERROR(SEARCH("Отсутствуют", C15), 0) &gt; 0, 5, IF(IFERROR(SEARCH("Наличие одного", C15), 0) &gt; 0, 3, IF(IFERROR(SEARCH("Наличие двух", C15), 0) &gt; 0, 0,)))</f>
        <v>3</v>
      </c>
      <c r="F15">
        <v>5</v>
      </c>
      <c r="G15" s="19" t="s">
        <v>90</v>
      </c>
    </row>
    <row r="16" spans="1:21" ht="15.75">
      <c r="A16" s="51"/>
      <c r="B16" s="52"/>
      <c r="C16" s="53"/>
      <c r="D16" s="52"/>
      <c r="F16">
        <v>3</v>
      </c>
      <c r="G16" s="13" t="s">
        <v>91</v>
      </c>
    </row>
    <row r="17" spans="1:7" ht="92.25" customHeight="1" thickBot="1">
      <c r="A17" s="40"/>
      <c r="B17" s="45"/>
      <c r="C17" s="43"/>
      <c r="D17" s="45"/>
      <c r="F17">
        <v>0</v>
      </c>
      <c r="G17" s="13" t="s">
        <v>92</v>
      </c>
    </row>
    <row r="18" spans="1:7" ht="15" customHeight="1" thickBot="1">
      <c r="A18" s="39" t="s">
        <v>13</v>
      </c>
      <c r="B18" s="44" t="s">
        <v>14</v>
      </c>
      <c r="C18" s="41" t="s">
        <v>93</v>
      </c>
      <c r="D18" s="44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>10</v>
      </c>
      <c r="F18">
        <v>10</v>
      </c>
      <c r="G18" s="13" t="s">
        <v>93</v>
      </c>
    </row>
    <row r="19" spans="1:7" ht="15" customHeight="1" thickBot="1">
      <c r="A19" s="51"/>
      <c r="B19" s="52"/>
      <c r="C19" s="53"/>
      <c r="D19" s="52"/>
      <c r="F19">
        <v>2</v>
      </c>
      <c r="G19" s="14" t="s">
        <v>94</v>
      </c>
    </row>
    <row r="20" spans="1:7" ht="57" customHeight="1" thickBot="1">
      <c r="A20" s="40"/>
      <c r="B20" s="45"/>
      <c r="C20" s="43"/>
      <c r="D20" s="45"/>
      <c r="F20">
        <v>0</v>
      </c>
      <c r="G20" s="13" t="s">
        <v>95</v>
      </c>
    </row>
    <row r="21" spans="1:7" ht="15.75">
      <c r="A21" s="39" t="s">
        <v>15</v>
      </c>
      <c r="B21" s="44" t="s">
        <v>16</v>
      </c>
      <c r="C21" s="41" t="s">
        <v>96</v>
      </c>
      <c r="D21" s="44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>5</v>
      </c>
      <c r="F21">
        <v>5</v>
      </c>
      <c r="G21" s="13" t="s">
        <v>96</v>
      </c>
    </row>
    <row r="22" spans="1:7" ht="42.75" customHeight="1" thickBot="1">
      <c r="A22" s="40"/>
      <c r="B22" s="45"/>
      <c r="C22" s="43"/>
      <c r="D22" s="45"/>
      <c r="F22">
        <v>0</v>
      </c>
      <c r="G22" s="13" t="s">
        <v>97</v>
      </c>
    </row>
    <row r="23" spans="1:7" ht="15.75">
      <c r="A23" s="39" t="s">
        <v>17</v>
      </c>
      <c r="B23" s="44" t="s">
        <v>18</v>
      </c>
      <c r="C23" s="41" t="s">
        <v>19</v>
      </c>
      <c r="D23" s="44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>10</v>
      </c>
      <c r="F23">
        <v>10</v>
      </c>
      <c r="G23" s="13" t="s">
        <v>19</v>
      </c>
    </row>
    <row r="24" spans="1:7" ht="15.75">
      <c r="A24" s="51"/>
      <c r="B24" s="52"/>
      <c r="C24" s="53"/>
      <c r="D24" s="52"/>
      <c r="F24">
        <v>5</v>
      </c>
      <c r="G24" s="13" t="s">
        <v>98</v>
      </c>
    </row>
    <row r="25" spans="1:7" ht="82.5" customHeight="1" thickBot="1">
      <c r="A25" s="40"/>
      <c r="B25" s="45"/>
      <c r="C25" s="43"/>
      <c r="D25" s="45"/>
      <c r="F25">
        <v>0</v>
      </c>
      <c r="G25" s="13" t="s">
        <v>99</v>
      </c>
    </row>
    <row r="26" spans="1:7" ht="15.75">
      <c r="A26" s="39" t="s">
        <v>20</v>
      </c>
      <c r="B26" s="44" t="s">
        <v>21</v>
      </c>
      <c r="C26" s="41" t="s">
        <v>22</v>
      </c>
      <c r="D26" s="44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>3</v>
      </c>
      <c r="F26">
        <v>3</v>
      </c>
      <c r="G26" s="13" t="s">
        <v>22</v>
      </c>
    </row>
    <row r="27" spans="1:7" ht="41.25" customHeight="1" thickBot="1">
      <c r="A27" s="40"/>
      <c r="B27" s="45"/>
      <c r="C27" s="43"/>
      <c r="D27" s="45"/>
      <c r="F27">
        <v>0</v>
      </c>
      <c r="G27" s="13" t="s">
        <v>100</v>
      </c>
    </row>
    <row r="28" spans="1:7" ht="15.75">
      <c r="A28" s="39" t="s">
        <v>23</v>
      </c>
      <c r="B28" s="44" t="s">
        <v>24</v>
      </c>
      <c r="C28" s="41" t="s">
        <v>101</v>
      </c>
      <c r="D28" s="44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>5</v>
      </c>
      <c r="F28">
        <v>5</v>
      </c>
      <c r="G28" s="13" t="s">
        <v>101</v>
      </c>
    </row>
    <row r="29" spans="1:7" ht="15.75">
      <c r="A29" s="51"/>
      <c r="B29" s="52"/>
      <c r="C29" s="53"/>
      <c r="D29" s="52"/>
      <c r="F29">
        <v>3</v>
      </c>
      <c r="G29" s="13" t="s">
        <v>102</v>
      </c>
    </row>
    <row r="30" spans="1:7" ht="61.5" customHeight="1" thickBot="1">
      <c r="A30" s="40"/>
      <c r="B30" s="45"/>
      <c r="C30" s="43"/>
      <c r="D30" s="45"/>
      <c r="F30">
        <v>0</v>
      </c>
      <c r="G30" s="13" t="s">
        <v>103</v>
      </c>
    </row>
    <row r="31" spans="1:7" ht="15.75">
      <c r="A31" s="39" t="s">
        <v>25</v>
      </c>
      <c r="B31" s="44" t="s">
        <v>26</v>
      </c>
      <c r="C31" s="41" t="s">
        <v>104</v>
      </c>
      <c r="D31" s="44">
        <f>IF(IFERROR(SEARCH("Отсутствуют нарушения ТБ", C31), 0) &gt; 0, 10, IF(IFERROR(SEARCH("Имелись нарушения ТБ", C31), 0) &gt; 0, 0, ))</f>
        <v>10</v>
      </c>
      <c r="F31">
        <v>10</v>
      </c>
      <c r="G31" s="13" t="s">
        <v>104</v>
      </c>
    </row>
    <row r="32" spans="1:7" ht="33.75" customHeight="1" thickBot="1">
      <c r="A32" s="40"/>
      <c r="B32" s="45"/>
      <c r="C32" s="43"/>
      <c r="D32" s="45"/>
      <c r="F32">
        <v>0</v>
      </c>
      <c r="G32" s="13" t="s">
        <v>105</v>
      </c>
    </row>
    <row r="33" spans="1:7" ht="15.75">
      <c r="A33" s="39" t="s">
        <v>27</v>
      </c>
      <c r="B33" s="44" t="s">
        <v>28</v>
      </c>
      <c r="C33" s="41" t="s">
        <v>52</v>
      </c>
      <c r="D33" s="44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>10</v>
      </c>
      <c r="F33">
        <v>10</v>
      </c>
      <c r="G33" s="13" t="s">
        <v>52</v>
      </c>
    </row>
    <row r="34" spans="1:7" ht="15.75">
      <c r="A34" s="51"/>
      <c r="B34" s="52"/>
      <c r="C34" s="53"/>
      <c r="D34" s="52"/>
      <c r="F34">
        <v>5</v>
      </c>
      <c r="G34" s="13" t="s">
        <v>106</v>
      </c>
    </row>
    <row r="35" spans="1:7" ht="18" customHeight="1" thickBot="1">
      <c r="A35" s="40"/>
      <c r="B35" s="45"/>
      <c r="C35" s="43"/>
      <c r="D35" s="45"/>
      <c r="F35">
        <v>0</v>
      </c>
      <c r="G35" s="13" t="s">
        <v>107</v>
      </c>
    </row>
    <row r="36" spans="1:7" ht="15.75">
      <c r="A36" s="39" t="s">
        <v>29</v>
      </c>
      <c r="B36" s="44" t="s">
        <v>30</v>
      </c>
      <c r="C36" s="41" t="s">
        <v>31</v>
      </c>
      <c r="D36" s="44">
        <f>IF(IFERROR(SEARCH("Материальные средства ", C36), 0) &gt; 0, 5, IF(IFERROR(SEARCH("Не выполнены ", C36), 0) &gt; 0, 0, ))</f>
        <v>5</v>
      </c>
      <c r="F36">
        <v>5</v>
      </c>
      <c r="G36" s="13" t="s">
        <v>31</v>
      </c>
    </row>
    <row r="37" spans="1:7" ht="45" customHeight="1" thickBot="1">
      <c r="A37" s="40"/>
      <c r="B37" s="45"/>
      <c r="C37" s="43"/>
      <c r="D37" s="45"/>
      <c r="F37">
        <v>0</v>
      </c>
      <c r="G37" s="13" t="s">
        <v>110</v>
      </c>
    </row>
    <row r="38" spans="1:7" ht="15.75">
      <c r="A38" s="39" t="s">
        <v>32</v>
      </c>
      <c r="B38" s="44" t="s">
        <v>33</v>
      </c>
      <c r="C38" s="41" t="s">
        <v>108</v>
      </c>
      <c r="D38" s="44">
        <f>IF(IFERROR(SEARCH("5", C38), 0) &gt; 0, 2, IF(IFERROR(SEARCH("4", C38), 0) &gt; 0, 1, ))</f>
        <v>2</v>
      </c>
      <c r="F38">
        <v>2</v>
      </c>
      <c r="G38" s="13" t="s">
        <v>108</v>
      </c>
    </row>
    <row r="39" spans="1:7" ht="103.5" customHeight="1" thickBot="1">
      <c r="A39" s="40"/>
      <c r="B39" s="45"/>
      <c r="C39" s="43"/>
      <c r="D39" s="45"/>
      <c r="F39">
        <v>1</v>
      </c>
      <c r="G39" s="13" t="s">
        <v>109</v>
      </c>
    </row>
    <row r="40" spans="1:7">
      <c r="A40" s="46" t="s">
        <v>34</v>
      </c>
      <c r="B40" s="47"/>
      <c r="C40" s="66"/>
      <c r="D40" s="68">
        <f>SUM(D7:D39)</f>
        <v>81</v>
      </c>
      <c r="E40" s="65"/>
    </row>
    <row r="41" spans="1:7" ht="15.75" thickBot="1">
      <c r="A41" s="48"/>
      <c r="B41" s="49"/>
      <c r="C41" s="67"/>
      <c r="D41" s="69"/>
      <c r="E41" s="65"/>
    </row>
    <row r="43" spans="1:7" ht="20.25">
      <c r="A43" s="37" t="s">
        <v>35</v>
      </c>
      <c r="B43" s="37"/>
      <c r="C43" s="37"/>
      <c r="D43" s="5"/>
      <c r="E43" s="5"/>
    </row>
    <row r="44" spans="1:7" ht="20.25">
      <c r="A44" s="37"/>
      <c r="B44" s="37"/>
      <c r="C44" s="37"/>
      <c r="D44" s="6"/>
      <c r="E44" s="6"/>
    </row>
    <row r="45" spans="1:7" ht="20.25">
      <c r="A45" s="5"/>
      <c r="B45" s="5"/>
      <c r="C45" s="5" t="s">
        <v>36</v>
      </c>
      <c r="D45" s="5"/>
      <c r="E45" s="5"/>
    </row>
    <row r="46" spans="1:7" ht="20.25">
      <c r="A46" s="5"/>
      <c r="B46" s="5"/>
      <c r="C46" s="7" t="s">
        <v>37</v>
      </c>
    </row>
  </sheetData>
  <mergeCells count="63">
    <mergeCell ref="A1:E1"/>
    <mergeCell ref="A2:E2"/>
    <mergeCell ref="A3:E3"/>
    <mergeCell ref="A4:E4"/>
    <mergeCell ref="B5:B6"/>
    <mergeCell ref="C5:C6"/>
    <mergeCell ref="D5:D6"/>
    <mergeCell ref="A7:A9"/>
    <mergeCell ref="B7:B9"/>
    <mergeCell ref="C7:C9"/>
    <mergeCell ref="D7:D9"/>
    <mergeCell ref="A10:A11"/>
    <mergeCell ref="B10:B11"/>
    <mergeCell ref="C10:C11"/>
    <mergeCell ref="D10:D11"/>
    <mergeCell ref="A12:A14"/>
    <mergeCell ref="B12:B14"/>
    <mergeCell ref="C12:C14"/>
    <mergeCell ref="D12:D14"/>
    <mergeCell ref="A15:A17"/>
    <mergeCell ref="B15:B17"/>
    <mergeCell ref="C15:C17"/>
    <mergeCell ref="D15:D17"/>
    <mergeCell ref="A18:A20"/>
    <mergeCell ref="B18:B20"/>
    <mergeCell ref="C18:C20"/>
    <mergeCell ref="D18:D20"/>
    <mergeCell ref="A21:A22"/>
    <mergeCell ref="B21:B22"/>
    <mergeCell ref="C21:C22"/>
    <mergeCell ref="D21:D22"/>
    <mergeCell ref="A23:A25"/>
    <mergeCell ref="B23:B25"/>
    <mergeCell ref="C23:C25"/>
    <mergeCell ref="D23:D25"/>
    <mergeCell ref="A26:A27"/>
    <mergeCell ref="B26:B27"/>
    <mergeCell ref="C26:C27"/>
    <mergeCell ref="D26:D27"/>
    <mergeCell ref="A28:A30"/>
    <mergeCell ref="B28:B30"/>
    <mergeCell ref="C28:C30"/>
    <mergeCell ref="D28:D30"/>
    <mergeCell ref="A31:A32"/>
    <mergeCell ref="B31:B32"/>
    <mergeCell ref="C31:C32"/>
    <mergeCell ref="D31:D32"/>
    <mergeCell ref="A33:A35"/>
    <mergeCell ref="B33:B35"/>
    <mergeCell ref="C33:C35"/>
    <mergeCell ref="D33:D35"/>
    <mergeCell ref="A36:A37"/>
    <mergeCell ref="B36:B37"/>
    <mergeCell ref="C36:C37"/>
    <mergeCell ref="D36:D37"/>
    <mergeCell ref="E40:E41"/>
    <mergeCell ref="A43:C44"/>
    <mergeCell ref="A38:A39"/>
    <mergeCell ref="B38:B39"/>
    <mergeCell ref="C38:C39"/>
    <mergeCell ref="D38:D39"/>
    <mergeCell ref="A40:C41"/>
    <mergeCell ref="D40:D41"/>
  </mergeCells>
  <dataValidations count="13">
    <dataValidation type="list" allowBlank="1" showInputMessage="1" showErrorMessage="1" sqref="C7:C9">
      <formula1>$G$7:$G$9</formula1>
    </dataValidation>
    <dataValidation type="list" allowBlank="1" showInputMessage="1" showErrorMessage="1" sqref="C10:C11">
      <formula1>$G$10:$G$11</formula1>
    </dataValidation>
    <dataValidation type="list" allowBlank="1" showInputMessage="1" showErrorMessage="1" sqref="C12:C14">
      <formula1>$G$12:$G$14</formula1>
    </dataValidation>
    <dataValidation type="list" allowBlank="1" showInputMessage="1" showErrorMessage="1" sqref="C15:C17">
      <formula1>$G$15:$G$17</formula1>
    </dataValidation>
    <dataValidation type="list" allowBlank="1" showInputMessage="1" showErrorMessage="1" sqref="C18:C20">
      <formula1>$G$18:$G$20</formula1>
    </dataValidation>
    <dataValidation type="list" allowBlank="1" showInputMessage="1" showErrorMessage="1" sqref="C21:C22">
      <formula1>$G$21:$G$22</formula1>
    </dataValidation>
    <dataValidation type="list" allowBlank="1" showInputMessage="1" showErrorMessage="1" sqref="C23:C25">
      <formula1>$G$23:$G$25</formula1>
    </dataValidation>
    <dataValidation type="list" allowBlank="1" showInputMessage="1" showErrorMessage="1" sqref="C26:C27">
      <formula1>$G$26:$G$27</formula1>
    </dataValidation>
    <dataValidation type="list" allowBlank="1" showInputMessage="1" showErrorMessage="1" sqref="C28:C30">
      <formula1>$G$28:$G$30</formula1>
    </dataValidation>
    <dataValidation type="list" allowBlank="1" showInputMessage="1" showErrorMessage="1" sqref="C31:C32">
      <formula1>$G$31:$G$32</formula1>
    </dataValidation>
    <dataValidation type="list" allowBlank="1" showInputMessage="1" showErrorMessage="1" sqref="C33:C35">
      <formula1>$G$33:$G$35</formula1>
    </dataValidation>
    <dataValidation type="list" allowBlank="1" showInputMessage="1" showErrorMessage="1" sqref="C36:C37">
      <formula1>$G$36:$G$37</formula1>
    </dataValidation>
    <dataValidation type="list" allowBlank="1" showInputMessage="1" showErrorMessage="1" sqref="C38:C39">
      <formula1>$G$38:$G$39</formula1>
    </dataValidation>
  </dataValidation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sheetPr>
    <tabColor rgb="FF7030A0"/>
  </sheetPr>
  <dimension ref="A1:F17"/>
  <sheetViews>
    <sheetView zoomScale="55" zoomScaleNormal="55" workbookViewId="0">
      <selection activeCell="B11" sqref="B11"/>
    </sheetView>
  </sheetViews>
  <sheetFormatPr defaultRowHeight="15"/>
  <cols>
    <col min="1" max="1" width="5.5703125" customWidth="1"/>
    <col min="2" max="2" width="34.140625" customWidth="1"/>
    <col min="3" max="3" width="24.7109375" customWidth="1"/>
    <col min="4" max="4" width="32" customWidth="1"/>
    <col min="5" max="6" width="25.5703125" customWidth="1"/>
  </cols>
  <sheetData>
    <row r="1" spans="1:6" ht="15.75">
      <c r="A1" s="75"/>
      <c r="B1" s="75"/>
      <c r="C1" s="75"/>
      <c r="D1" s="75"/>
      <c r="E1" s="75"/>
      <c r="F1" s="75"/>
    </row>
    <row r="2" spans="1:6" ht="18.75">
      <c r="A2" s="76" t="s">
        <v>111</v>
      </c>
      <c r="B2" s="76"/>
      <c r="C2" s="76"/>
      <c r="D2" s="76"/>
      <c r="E2" s="76"/>
      <c r="F2" s="76"/>
    </row>
    <row r="3" spans="1:6" ht="18.75">
      <c r="A3" s="76" t="s">
        <v>112</v>
      </c>
      <c r="B3" s="76"/>
      <c r="C3" s="76"/>
      <c r="D3" s="76"/>
      <c r="E3" s="76"/>
      <c r="F3" s="76"/>
    </row>
    <row r="4" spans="1:6" ht="18.75">
      <c r="A4" s="76" t="s">
        <v>113</v>
      </c>
      <c r="B4" s="76"/>
      <c r="C4" s="76"/>
      <c r="D4" s="76"/>
      <c r="E4" s="76"/>
      <c r="F4" s="76"/>
    </row>
    <row r="5" spans="1:6" ht="18.75">
      <c r="A5" s="77" t="s">
        <v>114</v>
      </c>
      <c r="B5" s="77"/>
      <c r="C5" s="77"/>
      <c r="D5" s="77"/>
      <c r="E5" s="77"/>
      <c r="F5" s="77"/>
    </row>
    <row r="6" spans="1:6">
      <c r="A6" s="74" t="s">
        <v>115</v>
      </c>
      <c r="B6" s="74"/>
      <c r="C6" s="74"/>
      <c r="D6" s="74"/>
      <c r="E6" s="74"/>
      <c r="F6" s="74"/>
    </row>
    <row r="7" spans="1:6" ht="16.5" thickBot="1">
      <c r="A7" s="20"/>
    </row>
    <row r="8" spans="1:6" ht="18.75">
      <c r="A8" s="21" t="s">
        <v>3</v>
      </c>
      <c r="B8" s="80" t="s">
        <v>116</v>
      </c>
      <c r="C8" s="80" t="s">
        <v>117</v>
      </c>
      <c r="D8" s="80" t="s">
        <v>118</v>
      </c>
      <c r="E8" s="80" t="s">
        <v>119</v>
      </c>
      <c r="F8" s="80" t="s">
        <v>120</v>
      </c>
    </row>
    <row r="9" spans="1:6" ht="19.5" thickBot="1">
      <c r="A9" s="22" t="s">
        <v>4</v>
      </c>
      <c r="B9" s="81"/>
      <c r="C9" s="81"/>
      <c r="D9" s="81"/>
      <c r="E9" s="81"/>
      <c r="F9" s="81"/>
    </row>
    <row r="10" spans="1:6" ht="61.5" customHeight="1" thickBot="1">
      <c r="A10" s="23">
        <v>1</v>
      </c>
      <c r="B10" s="24" t="s">
        <v>121</v>
      </c>
      <c r="C10" s="24" t="s">
        <v>122</v>
      </c>
      <c r="D10" s="24" t="s">
        <v>123</v>
      </c>
      <c r="E10" s="24">
        <f>'[1]СТ-21'!$E$46</f>
        <v>64</v>
      </c>
      <c r="F10" s="24">
        <f>_xlfn.RANK.EQ(E10,$E$10:$E$14, 0)</f>
        <v>3</v>
      </c>
    </row>
    <row r="11" spans="1:6" ht="45" customHeight="1" thickBot="1">
      <c r="A11" s="23">
        <v>2</v>
      </c>
      <c r="B11" s="24" t="s">
        <v>124</v>
      </c>
      <c r="C11" s="25" t="s">
        <v>125</v>
      </c>
      <c r="D11" s="24" t="s">
        <v>126</v>
      </c>
      <c r="E11" s="24">
        <f>'[1]СТ-22'!$E$46</f>
        <v>56</v>
      </c>
      <c r="F11" s="24">
        <f>_xlfn.RANK.EQ(E11,$E$10:$E$14, 0)</f>
        <v>4</v>
      </c>
    </row>
    <row r="12" spans="1:6" ht="58.5" customHeight="1" thickBot="1">
      <c r="A12" s="26">
        <v>3</v>
      </c>
      <c r="B12" s="27" t="s">
        <v>127</v>
      </c>
      <c r="C12" s="28" t="s">
        <v>128</v>
      </c>
      <c r="D12" s="27" t="s">
        <v>129</v>
      </c>
      <c r="E12" s="27">
        <f>'[1]СТ-23'!$E$46</f>
        <v>72</v>
      </c>
      <c r="F12" s="27">
        <f>_xlfn.RANK.EQ(E12,$E$10:$E$14, 0)</f>
        <v>1</v>
      </c>
    </row>
    <row r="13" spans="1:6" ht="50.25" customHeight="1" thickBot="1">
      <c r="A13" s="23">
        <v>4</v>
      </c>
      <c r="B13" s="24" t="s">
        <v>130</v>
      </c>
      <c r="C13" s="24" t="s">
        <v>131</v>
      </c>
      <c r="D13" s="24" t="s">
        <v>132</v>
      </c>
      <c r="E13" s="24">
        <f>'[1]СТ-24'!$E$46</f>
        <v>67</v>
      </c>
      <c r="F13" s="24">
        <f>_xlfn.RANK.EQ(E13,$E$10:$E$14, 0)</f>
        <v>2</v>
      </c>
    </row>
    <row r="14" spans="1:6" ht="50.25" customHeight="1" thickBot="1">
      <c r="A14" s="29">
        <v>5</v>
      </c>
      <c r="B14" s="30" t="s">
        <v>133</v>
      </c>
      <c r="C14" s="30" t="s">
        <v>131</v>
      </c>
      <c r="D14" s="30" t="s">
        <v>134</v>
      </c>
      <c r="E14" s="30">
        <f>'[1]СТ-25'!$E$46</f>
        <v>0</v>
      </c>
      <c r="F14" s="30">
        <f>_xlfn.RANK.EQ(E14,$E$10:$E$14, 0)</f>
        <v>5</v>
      </c>
    </row>
    <row r="15" spans="1:6" ht="18.75">
      <c r="A15" s="82" t="s">
        <v>135</v>
      </c>
      <c r="B15" s="82"/>
      <c r="C15" s="82"/>
      <c r="D15" s="82"/>
      <c r="E15" s="82"/>
      <c r="F15" s="82"/>
    </row>
    <row r="16" spans="1:6" ht="18.75">
      <c r="A16" s="78" t="s">
        <v>136</v>
      </c>
      <c r="B16" s="78"/>
      <c r="C16" s="78"/>
      <c r="D16" s="78"/>
      <c r="E16" s="78"/>
      <c r="F16" s="78"/>
    </row>
    <row r="17" spans="1:6" ht="18.75">
      <c r="A17" s="79" t="s">
        <v>137</v>
      </c>
      <c r="B17" s="79"/>
      <c r="C17" s="79"/>
      <c r="D17" s="79"/>
      <c r="E17" s="79"/>
      <c r="F17" s="79"/>
    </row>
  </sheetData>
  <mergeCells count="14">
    <mergeCell ref="A16:F16"/>
    <mergeCell ref="A17:F17"/>
    <mergeCell ref="B8:B9"/>
    <mergeCell ref="C8:C9"/>
    <mergeCell ref="D8:D9"/>
    <mergeCell ref="E8:E9"/>
    <mergeCell ref="F8:F9"/>
    <mergeCell ref="A15:F15"/>
    <mergeCell ref="A6:F6"/>
    <mergeCell ref="A1:F1"/>
    <mergeCell ref="A2:F2"/>
    <mergeCell ref="A3:F3"/>
    <mergeCell ref="A4:F4"/>
    <mergeCell ref="A5:F5"/>
  </mergeCells>
  <conditionalFormatting sqref="A10:A14">
    <cfRule type="duplicateValues" dxfId="4" priority="1"/>
  </conditionalFormatting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F32"/>
  <sheetViews>
    <sheetView topLeftCell="A4" zoomScale="55" zoomScaleNormal="55" workbookViewId="0">
      <selection activeCell="D10" sqref="D10"/>
    </sheetView>
  </sheetViews>
  <sheetFormatPr defaultRowHeight="15"/>
  <cols>
    <col min="1" max="1" width="6.28515625" customWidth="1"/>
    <col min="2" max="2" width="34" customWidth="1"/>
    <col min="3" max="3" width="23.140625" customWidth="1"/>
    <col min="4" max="4" width="32.7109375" customWidth="1"/>
    <col min="5" max="5" width="22.85546875" customWidth="1"/>
    <col min="6" max="6" width="34" customWidth="1"/>
  </cols>
  <sheetData>
    <row r="1" spans="1:6" ht="15.75">
      <c r="A1" s="75"/>
      <c r="B1" s="75"/>
      <c r="C1" s="75"/>
      <c r="D1" s="75"/>
      <c r="E1" s="75"/>
      <c r="F1" s="75"/>
    </row>
    <row r="2" spans="1:6" ht="18.75" customHeight="1">
      <c r="A2" s="76" t="s">
        <v>111</v>
      </c>
      <c r="B2" s="76"/>
      <c r="C2" s="76"/>
      <c r="D2" s="76"/>
      <c r="E2" s="76"/>
      <c r="F2" s="76"/>
    </row>
    <row r="3" spans="1:6" ht="18.75" customHeight="1">
      <c r="A3" s="76" t="s">
        <v>112</v>
      </c>
      <c r="B3" s="76"/>
      <c r="C3" s="76"/>
      <c r="D3" s="76"/>
      <c r="E3" s="76"/>
      <c r="F3" s="76"/>
    </row>
    <row r="4" spans="1:6" ht="18.75" customHeight="1">
      <c r="A4" s="76" t="s">
        <v>138</v>
      </c>
      <c r="B4" s="76"/>
      <c r="C4" s="76"/>
      <c r="D4" s="76"/>
      <c r="E4" s="76"/>
      <c r="F4" s="76"/>
    </row>
    <row r="5" spans="1:6" ht="18.75">
      <c r="A5" s="77" t="s">
        <v>114</v>
      </c>
      <c r="B5" s="77"/>
      <c r="C5" s="77"/>
      <c r="D5" s="77"/>
      <c r="E5" s="77"/>
      <c r="F5" s="77"/>
    </row>
    <row r="6" spans="1:6">
      <c r="A6" s="74" t="s">
        <v>115</v>
      </c>
      <c r="B6" s="74"/>
      <c r="C6" s="74"/>
      <c r="D6" s="74"/>
      <c r="E6" s="74"/>
      <c r="F6" s="74"/>
    </row>
    <row r="7" spans="1:6" ht="16.5" thickBot="1">
      <c r="A7" s="20"/>
    </row>
    <row r="8" spans="1:6" ht="18.75" customHeight="1">
      <c r="A8" s="21" t="s">
        <v>3</v>
      </c>
      <c r="B8" s="80" t="s">
        <v>116</v>
      </c>
      <c r="C8" s="80" t="s">
        <v>117</v>
      </c>
      <c r="D8" s="80" t="s">
        <v>118</v>
      </c>
      <c r="E8" s="80" t="s">
        <v>119</v>
      </c>
      <c r="F8" s="80" t="s">
        <v>120</v>
      </c>
    </row>
    <row r="9" spans="1:6" ht="19.5" thickBot="1">
      <c r="A9" s="22" t="s">
        <v>4</v>
      </c>
      <c r="B9" s="81"/>
      <c r="C9" s="81"/>
      <c r="D9" s="81"/>
      <c r="E9" s="81"/>
      <c r="F9" s="81"/>
    </row>
    <row r="10" spans="1:6" ht="50.25" customHeight="1" thickBot="1">
      <c r="A10" s="23">
        <v>1</v>
      </c>
      <c r="B10" s="24" t="s">
        <v>139</v>
      </c>
      <c r="C10" s="24" t="s">
        <v>140</v>
      </c>
      <c r="D10" s="24" t="s">
        <v>141</v>
      </c>
      <c r="E10" s="24">
        <f>'[1]КУГ-211'!$E$51</f>
        <v>84</v>
      </c>
      <c r="F10" s="24">
        <f t="shared" ref="F10:F29" si="0">_xlfn.RANK.EQ(E10,$E$10:$E$29, 0)</f>
        <v>6</v>
      </c>
    </row>
    <row r="11" spans="1:6" ht="49.5" customHeight="1" thickBot="1">
      <c r="A11" s="23">
        <v>2</v>
      </c>
      <c r="B11" s="24" t="s">
        <v>142</v>
      </c>
      <c r="C11" s="31" t="s">
        <v>131</v>
      </c>
      <c r="D11" s="24" t="s">
        <v>143</v>
      </c>
      <c r="E11" s="24">
        <f>'[1]КУГ-212'!$E$51</f>
        <v>69</v>
      </c>
      <c r="F11" s="24">
        <f t="shared" si="0"/>
        <v>12</v>
      </c>
    </row>
    <row r="12" spans="1:6" ht="50.25" customHeight="1" thickBot="1">
      <c r="A12" s="23">
        <v>3</v>
      </c>
      <c r="B12" s="24" t="s">
        <v>144</v>
      </c>
      <c r="C12" s="25" t="s">
        <v>131</v>
      </c>
      <c r="D12" s="24" t="s">
        <v>145</v>
      </c>
      <c r="E12" s="24">
        <f>'[1]КУГ-213'!$E$51</f>
        <v>55</v>
      </c>
      <c r="F12" s="24">
        <f t="shared" si="0"/>
        <v>18</v>
      </c>
    </row>
    <row r="13" spans="1:6" ht="49.5" customHeight="1" thickBot="1">
      <c r="A13" s="23">
        <v>4</v>
      </c>
      <c r="B13" s="24" t="s">
        <v>146</v>
      </c>
      <c r="C13" s="24" t="s">
        <v>147</v>
      </c>
      <c r="D13" s="24" t="s">
        <v>148</v>
      </c>
      <c r="E13" s="24">
        <f>'[1]КУГ-214'!$E$51</f>
        <v>69</v>
      </c>
      <c r="F13" s="24">
        <f t="shared" si="0"/>
        <v>12</v>
      </c>
    </row>
    <row r="14" spans="1:6" ht="44.25" customHeight="1" thickBot="1">
      <c r="A14" s="23">
        <v>5</v>
      </c>
      <c r="B14" s="24" t="s">
        <v>149</v>
      </c>
      <c r="C14" s="24" t="s">
        <v>150</v>
      </c>
      <c r="D14" s="24" t="s">
        <v>151</v>
      </c>
      <c r="E14" s="24">
        <f>'[1]КУГ-221'!$E$51</f>
        <v>69</v>
      </c>
      <c r="F14" s="24">
        <f t="shared" si="0"/>
        <v>12</v>
      </c>
    </row>
    <row r="15" spans="1:6" ht="38.25" thickBot="1">
      <c r="A15" s="23">
        <v>6</v>
      </c>
      <c r="B15" s="24" t="s">
        <v>152</v>
      </c>
      <c r="C15" s="24" t="s">
        <v>131</v>
      </c>
      <c r="D15" s="24" t="s">
        <v>153</v>
      </c>
      <c r="E15" s="24">
        <f>'[1]КУГ-222'!$E$51</f>
        <v>69</v>
      </c>
      <c r="F15" s="24">
        <f t="shared" si="0"/>
        <v>12</v>
      </c>
    </row>
    <row r="16" spans="1:6" ht="38.25" thickBot="1">
      <c r="A16" s="23">
        <v>7</v>
      </c>
      <c r="B16" s="24" t="s">
        <v>154</v>
      </c>
      <c r="C16" s="24" t="s">
        <v>150</v>
      </c>
      <c r="D16" s="24" t="s">
        <v>155</v>
      </c>
      <c r="E16" s="24">
        <f>'[1]КУГ-223'!$E$51</f>
        <v>69</v>
      </c>
      <c r="F16" s="24">
        <f t="shared" si="0"/>
        <v>12</v>
      </c>
    </row>
    <row r="17" spans="1:6" ht="38.25" thickBot="1">
      <c r="A17" s="23">
        <v>9</v>
      </c>
      <c r="B17" s="24" t="s">
        <v>156</v>
      </c>
      <c r="C17" s="24" t="s">
        <v>150</v>
      </c>
      <c r="D17" s="24" t="s">
        <v>157</v>
      </c>
      <c r="E17" s="24">
        <f>'[1]КУГ-224'!$E$51</f>
        <v>69</v>
      </c>
      <c r="F17" s="24">
        <f t="shared" si="0"/>
        <v>12</v>
      </c>
    </row>
    <row r="18" spans="1:6" ht="38.25" thickBot="1">
      <c r="A18" s="23">
        <v>10</v>
      </c>
      <c r="B18" s="24" t="s">
        <v>158</v>
      </c>
      <c r="C18" s="24" t="s">
        <v>150</v>
      </c>
      <c r="D18" s="24" t="s">
        <v>159</v>
      </c>
      <c r="E18" s="24">
        <f>'[1]КУГ-231'!$E$51</f>
        <v>80</v>
      </c>
      <c r="F18" s="24">
        <f t="shared" si="0"/>
        <v>8</v>
      </c>
    </row>
    <row r="19" spans="1:6" ht="57" thickBot="1">
      <c r="A19" s="23">
        <v>11</v>
      </c>
      <c r="B19" s="24" t="s">
        <v>160</v>
      </c>
      <c r="C19" s="24" t="s">
        <v>150</v>
      </c>
      <c r="D19" s="24" t="s">
        <v>161</v>
      </c>
      <c r="E19" s="24">
        <f>'[1]КУГ-232'!$E$51</f>
        <v>82</v>
      </c>
      <c r="F19" s="24">
        <f t="shared" si="0"/>
        <v>7</v>
      </c>
    </row>
    <row r="20" spans="1:6" ht="38.25" thickBot="1">
      <c r="A20" s="23">
        <v>12</v>
      </c>
      <c r="B20" s="24" t="s">
        <v>162</v>
      </c>
      <c r="C20" s="24" t="s">
        <v>150</v>
      </c>
      <c r="D20" s="24" t="s">
        <v>163</v>
      </c>
      <c r="E20" s="24">
        <f>'[1]КУГ-233'!$E$51</f>
        <v>80</v>
      </c>
      <c r="F20" s="24">
        <f t="shared" si="0"/>
        <v>8</v>
      </c>
    </row>
    <row r="21" spans="1:6" ht="38.25" thickBot="1">
      <c r="A21" s="23">
        <v>13</v>
      </c>
      <c r="B21" s="24" t="s">
        <v>164</v>
      </c>
      <c r="C21" s="24" t="s">
        <v>140</v>
      </c>
      <c r="D21" s="24" t="s">
        <v>165</v>
      </c>
      <c r="E21" s="24">
        <f>'[1]КУГ-234'!$E$51</f>
        <v>80</v>
      </c>
      <c r="F21" s="24">
        <f t="shared" si="0"/>
        <v>8</v>
      </c>
    </row>
    <row r="22" spans="1:6" ht="38.25" thickBot="1">
      <c r="A22" s="23">
        <v>14</v>
      </c>
      <c r="B22" s="24" t="s">
        <v>166</v>
      </c>
      <c r="C22" s="24" t="s">
        <v>150</v>
      </c>
      <c r="D22" s="24" t="s">
        <v>167</v>
      </c>
      <c r="E22" s="24">
        <f>'[1]КУГ-241'!$E$51</f>
        <v>70</v>
      </c>
      <c r="F22" s="24">
        <f t="shared" si="0"/>
        <v>11</v>
      </c>
    </row>
    <row r="23" spans="1:6" ht="38.25" thickBot="1">
      <c r="A23" s="23">
        <v>15</v>
      </c>
      <c r="B23" s="24" t="s">
        <v>168</v>
      </c>
      <c r="C23" s="24" t="s">
        <v>150</v>
      </c>
      <c r="D23" s="24" t="s">
        <v>169</v>
      </c>
      <c r="E23" s="24">
        <f>'[1]КУГ-242'!$E$51</f>
        <v>89</v>
      </c>
      <c r="F23" s="24">
        <f t="shared" si="0"/>
        <v>4</v>
      </c>
    </row>
    <row r="24" spans="1:6" ht="38.25" thickBot="1">
      <c r="A24" s="23">
        <v>16</v>
      </c>
      <c r="B24" s="24" t="s">
        <v>170</v>
      </c>
      <c r="C24" s="24" t="s">
        <v>131</v>
      </c>
      <c r="D24" s="24" t="s">
        <v>171</v>
      </c>
      <c r="E24" s="24">
        <f>'[1]КУГ-243'!$E$51</f>
        <v>85</v>
      </c>
      <c r="F24" s="24">
        <f t="shared" si="0"/>
        <v>5</v>
      </c>
    </row>
    <row r="25" spans="1:6" ht="38.25" thickBot="1">
      <c r="A25" s="23">
        <v>18</v>
      </c>
      <c r="B25" s="24" t="s">
        <v>172</v>
      </c>
      <c r="C25" s="24" t="s">
        <v>131</v>
      </c>
      <c r="D25" s="24" t="s">
        <v>173</v>
      </c>
      <c r="E25" s="24">
        <f>'[1]КУГ-244'!$E$51</f>
        <v>55</v>
      </c>
      <c r="F25" s="24">
        <f t="shared" si="0"/>
        <v>18</v>
      </c>
    </row>
    <row r="26" spans="1:6" ht="37.5">
      <c r="A26" s="26">
        <v>19</v>
      </c>
      <c r="B26" s="27" t="s">
        <v>174</v>
      </c>
      <c r="C26" s="27" t="s">
        <v>131</v>
      </c>
      <c r="D26" s="27" t="s">
        <v>175</v>
      </c>
      <c r="E26" s="27">
        <f>'[1]КУГ-251'!$E$51</f>
        <v>97</v>
      </c>
      <c r="F26" s="27">
        <f t="shared" si="0"/>
        <v>1</v>
      </c>
    </row>
    <row r="27" spans="1:6" ht="38.25" thickBot="1">
      <c r="A27" s="34">
        <v>20</v>
      </c>
      <c r="B27" s="35" t="s">
        <v>176</v>
      </c>
      <c r="C27" s="35" t="s">
        <v>131</v>
      </c>
      <c r="D27" s="35" t="s">
        <v>177</v>
      </c>
      <c r="E27" s="35">
        <f>'[1]КУГ-252'!$E$51</f>
        <v>91</v>
      </c>
      <c r="F27" s="35">
        <f t="shared" si="0"/>
        <v>3</v>
      </c>
    </row>
    <row r="28" spans="1:6" ht="38.25" thickBot="1">
      <c r="A28" s="29">
        <v>21</v>
      </c>
      <c r="B28" s="30" t="s">
        <v>178</v>
      </c>
      <c r="C28" s="30" t="s">
        <v>179</v>
      </c>
      <c r="D28" s="30" t="s">
        <v>180</v>
      </c>
      <c r="E28" s="30">
        <f>'[1]КУГ-253'!$E$51</f>
        <v>0</v>
      </c>
      <c r="F28" s="30">
        <f t="shared" si="0"/>
        <v>20</v>
      </c>
    </row>
    <row r="29" spans="1:6" ht="38.25" thickBot="1">
      <c r="A29" s="32">
        <v>22</v>
      </c>
      <c r="B29" s="33" t="s">
        <v>181</v>
      </c>
      <c r="C29" s="33" t="s">
        <v>131</v>
      </c>
      <c r="D29" s="33" t="s">
        <v>182</v>
      </c>
      <c r="E29" s="33">
        <f>'[1]КУГ-254'!E51</f>
        <v>95</v>
      </c>
      <c r="F29" s="33">
        <f t="shared" si="0"/>
        <v>2</v>
      </c>
    </row>
    <row r="30" spans="1:6" ht="18.75">
      <c r="A30" s="82" t="s">
        <v>135</v>
      </c>
      <c r="B30" s="82"/>
      <c r="C30" s="82"/>
      <c r="D30" s="82"/>
      <c r="E30" s="82"/>
      <c r="F30" s="82"/>
    </row>
    <row r="31" spans="1:6" ht="18.75">
      <c r="A31" s="78" t="s">
        <v>136</v>
      </c>
      <c r="B31" s="78"/>
      <c r="C31" s="78"/>
      <c r="D31" s="78"/>
      <c r="E31" s="78"/>
      <c r="F31" s="78"/>
    </row>
    <row r="32" spans="1:6" ht="18.75">
      <c r="A32" s="79" t="s">
        <v>137</v>
      </c>
      <c r="B32" s="79"/>
      <c r="C32" s="79"/>
      <c r="D32" s="79"/>
      <c r="E32" s="79"/>
      <c r="F32" s="79"/>
    </row>
  </sheetData>
  <mergeCells count="14">
    <mergeCell ref="A30:F30"/>
    <mergeCell ref="A31:F31"/>
    <mergeCell ref="A32:F32"/>
    <mergeCell ref="B8:B9"/>
    <mergeCell ref="C8:C9"/>
    <mergeCell ref="D8:D9"/>
    <mergeCell ref="E8:E9"/>
    <mergeCell ref="F8:F9"/>
    <mergeCell ref="A6:F6"/>
    <mergeCell ref="A1:F1"/>
    <mergeCell ref="A2:F2"/>
    <mergeCell ref="A3:F3"/>
    <mergeCell ref="A4:F4"/>
    <mergeCell ref="A5:F5"/>
  </mergeCells>
  <conditionalFormatting sqref="A22">
    <cfRule type="duplicateValues" dxfId="3" priority="1"/>
  </conditionalFormatting>
  <conditionalFormatting sqref="A23:A29 A10:A21">
    <cfRule type="duplicateValues" dxfId="2" priority="2"/>
  </conditionalFormatting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sheetPr>
    <tabColor theme="8" tint="-0.249977111117893"/>
  </sheetPr>
  <dimension ref="A1:F49"/>
  <sheetViews>
    <sheetView tabSelected="1" zoomScale="55" zoomScaleNormal="55" workbookViewId="0">
      <selection activeCell="O33" sqref="O33"/>
    </sheetView>
  </sheetViews>
  <sheetFormatPr defaultRowHeight="15"/>
  <cols>
    <col min="1" max="1" width="6.28515625" customWidth="1"/>
    <col min="2" max="2" width="34" customWidth="1"/>
    <col min="3" max="3" width="23.140625" customWidth="1"/>
    <col min="4" max="4" width="32.7109375" customWidth="1"/>
    <col min="5" max="5" width="22.85546875" customWidth="1"/>
    <col min="6" max="6" width="34" customWidth="1"/>
  </cols>
  <sheetData>
    <row r="1" spans="1:6" ht="15.75">
      <c r="A1" s="75"/>
      <c r="B1" s="75"/>
      <c r="C1" s="75"/>
      <c r="D1" s="75"/>
      <c r="E1" s="75"/>
      <c r="F1" s="75"/>
    </row>
    <row r="2" spans="1:6" ht="18.75" customHeight="1">
      <c r="A2" s="76" t="s">
        <v>111</v>
      </c>
      <c r="B2" s="76"/>
      <c r="C2" s="76"/>
      <c r="D2" s="76"/>
      <c r="E2" s="76"/>
      <c r="F2" s="76"/>
    </row>
    <row r="3" spans="1:6" ht="18.75" customHeight="1">
      <c r="A3" s="76" t="s">
        <v>112</v>
      </c>
      <c r="B3" s="76"/>
      <c r="C3" s="76"/>
      <c r="D3" s="76"/>
      <c r="E3" s="76"/>
      <c r="F3" s="76"/>
    </row>
    <row r="4" spans="1:6" ht="18.75" customHeight="1">
      <c r="A4" s="76" t="s">
        <v>183</v>
      </c>
      <c r="B4" s="76"/>
      <c r="C4" s="76"/>
      <c r="D4" s="76"/>
      <c r="E4" s="76"/>
      <c r="F4" s="76"/>
    </row>
    <row r="5" spans="1:6" ht="18.75">
      <c r="A5" s="77" t="s">
        <v>114</v>
      </c>
      <c r="B5" s="77"/>
      <c r="C5" s="77"/>
      <c r="D5" s="77"/>
      <c r="E5" s="77"/>
      <c r="F5" s="77"/>
    </row>
    <row r="6" spans="1:6">
      <c r="A6" s="74" t="s">
        <v>115</v>
      </c>
      <c r="B6" s="74"/>
      <c r="C6" s="74"/>
      <c r="D6" s="74"/>
      <c r="E6" s="74"/>
      <c r="F6" s="74"/>
    </row>
    <row r="7" spans="1:6" ht="16.5" thickBot="1">
      <c r="A7" s="20"/>
    </row>
    <row r="8" spans="1:6" ht="18.75" customHeight="1">
      <c r="A8" s="21" t="s">
        <v>3</v>
      </c>
      <c r="B8" s="80" t="s">
        <v>116</v>
      </c>
      <c r="C8" s="80" t="s">
        <v>117</v>
      </c>
      <c r="D8" s="80" t="s">
        <v>118</v>
      </c>
      <c r="E8" s="80" t="s">
        <v>119</v>
      </c>
      <c r="F8" s="80" t="s">
        <v>120</v>
      </c>
    </row>
    <row r="9" spans="1:6" ht="19.5" thickBot="1">
      <c r="A9" s="22" t="s">
        <v>4</v>
      </c>
      <c r="B9" s="81"/>
      <c r="C9" s="81"/>
      <c r="D9" s="81"/>
      <c r="E9" s="81"/>
      <c r="F9" s="81"/>
    </row>
    <row r="10" spans="1:6" ht="50.25" customHeight="1" thickBot="1">
      <c r="A10" s="23">
        <v>1</v>
      </c>
      <c r="B10" s="24" t="s">
        <v>184</v>
      </c>
      <c r="C10" s="24" t="s">
        <v>122</v>
      </c>
      <c r="D10" s="24" t="s">
        <v>185</v>
      </c>
      <c r="E10" s="24">
        <f>'[1]КО1-211'!E40</f>
        <v>55</v>
      </c>
      <c r="F10" s="24">
        <f>_xlfn.RANK.EQ(E10,$E$10:$E$46, 0)</f>
        <v>33</v>
      </c>
    </row>
    <row r="11" spans="1:6" ht="49.5" customHeight="1" thickBot="1">
      <c r="A11" s="23">
        <v>2</v>
      </c>
      <c r="B11" s="24" t="s">
        <v>186</v>
      </c>
      <c r="C11" s="24" t="s">
        <v>147</v>
      </c>
      <c r="D11" s="24" t="s">
        <v>187</v>
      </c>
      <c r="E11" s="24">
        <f>'[1]КО2-211'!E40</f>
        <v>70</v>
      </c>
      <c r="F11" s="24">
        <f t="shared" ref="F11:F46" si="0">_xlfn.RANK.EQ(E11,$E$10:$E$46, 0)</f>
        <v>13</v>
      </c>
    </row>
    <row r="12" spans="1:6" ht="50.25" customHeight="1" thickBot="1">
      <c r="A12" s="23">
        <v>3</v>
      </c>
      <c r="B12" s="24" t="s">
        <v>188</v>
      </c>
      <c r="C12" s="24" t="s">
        <v>147</v>
      </c>
      <c r="D12" s="24" t="s">
        <v>189</v>
      </c>
      <c r="E12" s="24">
        <f>'[1]КО3-211 '!E40</f>
        <v>56</v>
      </c>
      <c r="F12" s="24">
        <f t="shared" si="0"/>
        <v>32</v>
      </c>
    </row>
    <row r="13" spans="1:6" ht="49.5" customHeight="1" thickBot="1">
      <c r="A13" s="29">
        <v>4</v>
      </c>
      <c r="B13" s="30" t="s">
        <v>190</v>
      </c>
      <c r="C13" s="30" t="s">
        <v>122</v>
      </c>
      <c r="D13" s="30" t="s">
        <v>191</v>
      </c>
      <c r="E13" s="30">
        <v>20</v>
      </c>
      <c r="F13" s="30">
        <f t="shared" si="0"/>
        <v>37</v>
      </c>
    </row>
    <row r="14" spans="1:6" ht="44.25" customHeight="1" thickBot="1">
      <c r="A14" s="23">
        <v>5</v>
      </c>
      <c r="B14" s="24" t="s">
        <v>192</v>
      </c>
      <c r="C14" s="24" t="s">
        <v>147</v>
      </c>
      <c r="D14" s="24" t="s">
        <v>193</v>
      </c>
      <c r="E14" s="24">
        <f>'[1]КО2-212'!E40</f>
        <v>75</v>
      </c>
      <c r="F14" s="24">
        <f t="shared" si="0"/>
        <v>8</v>
      </c>
    </row>
    <row r="15" spans="1:6" ht="38.25" thickBot="1">
      <c r="A15" s="23">
        <v>6</v>
      </c>
      <c r="B15" s="24" t="s">
        <v>194</v>
      </c>
      <c r="C15" s="24" t="s">
        <v>122</v>
      </c>
      <c r="D15" s="24" t="s">
        <v>195</v>
      </c>
      <c r="E15" s="24">
        <f>'[1]КО1-213'!E40</f>
        <v>67</v>
      </c>
      <c r="F15" s="24">
        <f t="shared" si="0"/>
        <v>18</v>
      </c>
    </row>
    <row r="16" spans="1:6" ht="38.25" thickBot="1">
      <c r="A16" s="23">
        <v>7</v>
      </c>
      <c r="B16" s="24" t="s">
        <v>196</v>
      </c>
      <c r="C16" s="24" t="s">
        <v>147</v>
      </c>
      <c r="D16" s="24" t="s">
        <v>197</v>
      </c>
      <c r="E16" s="24">
        <f>'[1]КО2-213'!E40</f>
        <v>69</v>
      </c>
      <c r="F16" s="24">
        <f t="shared" si="0"/>
        <v>15</v>
      </c>
    </row>
    <row r="17" spans="1:6" ht="38.25" thickBot="1">
      <c r="A17" s="23">
        <v>9</v>
      </c>
      <c r="B17" s="24" t="s">
        <v>198</v>
      </c>
      <c r="C17" s="24" t="s">
        <v>122</v>
      </c>
      <c r="D17" s="24" t="s">
        <v>199</v>
      </c>
      <c r="E17" s="24">
        <f>'[1]КО2-214 '!E40</f>
        <v>65</v>
      </c>
      <c r="F17" s="24">
        <f t="shared" si="0"/>
        <v>20</v>
      </c>
    </row>
    <row r="18" spans="1:6" ht="38.25" thickBot="1">
      <c r="A18" s="23">
        <v>10</v>
      </c>
      <c r="B18" s="24" t="s">
        <v>200</v>
      </c>
      <c r="C18" s="24" t="s">
        <v>122</v>
      </c>
      <c r="D18" s="24" t="s">
        <v>201</v>
      </c>
      <c r="E18" s="24">
        <f>'[1]КО1-221'!E40</f>
        <v>75</v>
      </c>
      <c r="F18" s="24">
        <f t="shared" si="0"/>
        <v>8</v>
      </c>
    </row>
    <row r="19" spans="1:6" ht="38.25" thickBot="1">
      <c r="A19" s="23">
        <v>11</v>
      </c>
      <c r="B19" s="24" t="s">
        <v>202</v>
      </c>
      <c r="C19" s="24" t="s">
        <v>203</v>
      </c>
      <c r="D19" s="24" t="s">
        <v>204</v>
      </c>
      <c r="E19" s="24">
        <f>'[1]КО2-221'!E40</f>
        <v>74</v>
      </c>
      <c r="F19" s="24">
        <f t="shared" si="0"/>
        <v>10</v>
      </c>
    </row>
    <row r="20" spans="1:6" ht="38.25" thickBot="1">
      <c r="A20" s="23">
        <v>12</v>
      </c>
      <c r="B20" s="24" t="s">
        <v>205</v>
      </c>
      <c r="C20" s="24" t="s">
        <v>203</v>
      </c>
      <c r="D20" s="24" t="s">
        <v>206</v>
      </c>
      <c r="E20" s="24">
        <f>'[1]КО3-221'!E40</f>
        <v>55</v>
      </c>
      <c r="F20" s="24">
        <f t="shared" si="0"/>
        <v>33</v>
      </c>
    </row>
    <row r="21" spans="1:6" ht="38.25" thickBot="1">
      <c r="A21" s="23">
        <v>13</v>
      </c>
      <c r="B21" s="24" t="s">
        <v>207</v>
      </c>
      <c r="C21" s="24" t="s">
        <v>203</v>
      </c>
      <c r="D21" s="24" t="s">
        <v>208</v>
      </c>
      <c r="E21" s="24">
        <v>57</v>
      </c>
      <c r="F21" s="24">
        <f t="shared" si="0"/>
        <v>31</v>
      </c>
    </row>
    <row r="22" spans="1:6" ht="38.25" thickBot="1">
      <c r="A22" s="23">
        <v>14</v>
      </c>
      <c r="B22" s="24" t="s">
        <v>209</v>
      </c>
      <c r="C22" s="24" t="s">
        <v>203</v>
      </c>
      <c r="D22" s="24" t="s">
        <v>210</v>
      </c>
      <c r="E22" s="24">
        <v>40</v>
      </c>
      <c r="F22" s="24">
        <f t="shared" si="0"/>
        <v>36</v>
      </c>
    </row>
    <row r="23" spans="1:6" ht="38.25" thickBot="1">
      <c r="A23" s="23">
        <v>15</v>
      </c>
      <c r="B23" s="24" t="s">
        <v>211</v>
      </c>
      <c r="C23" s="24" t="s">
        <v>203</v>
      </c>
      <c r="D23" s="24" t="s">
        <v>212</v>
      </c>
      <c r="E23" s="24">
        <f>'[1]КО2-222'!E40</f>
        <v>59</v>
      </c>
      <c r="F23" s="24">
        <f t="shared" si="0"/>
        <v>28</v>
      </c>
    </row>
    <row r="24" spans="1:6" ht="38.25" thickBot="1">
      <c r="A24" s="23">
        <v>16</v>
      </c>
      <c r="B24" s="24" t="s">
        <v>209</v>
      </c>
      <c r="C24" s="24" t="s">
        <v>131</v>
      </c>
      <c r="D24" s="24" t="s">
        <v>213</v>
      </c>
      <c r="E24" s="24">
        <v>58</v>
      </c>
      <c r="F24" s="24">
        <f t="shared" si="0"/>
        <v>30</v>
      </c>
    </row>
    <row r="25" spans="1:6" ht="38.25" thickBot="1">
      <c r="A25" s="23">
        <v>18</v>
      </c>
      <c r="B25" s="24" t="s">
        <v>214</v>
      </c>
      <c r="C25" s="24" t="s">
        <v>203</v>
      </c>
      <c r="D25" s="24" t="s">
        <v>215</v>
      </c>
      <c r="E25" s="24">
        <v>60</v>
      </c>
      <c r="F25" s="24">
        <f t="shared" si="0"/>
        <v>26</v>
      </c>
    </row>
    <row r="26" spans="1:6" ht="38.25" thickBot="1">
      <c r="A26" s="23">
        <v>19</v>
      </c>
      <c r="B26" s="24" t="s">
        <v>216</v>
      </c>
      <c r="C26" s="24" t="s">
        <v>122</v>
      </c>
      <c r="D26" s="24" t="s">
        <v>217</v>
      </c>
      <c r="E26" s="24">
        <v>61</v>
      </c>
      <c r="F26" s="24">
        <f t="shared" si="0"/>
        <v>25</v>
      </c>
    </row>
    <row r="27" spans="1:6" ht="38.25" thickBot="1">
      <c r="A27" s="23">
        <v>20</v>
      </c>
      <c r="B27" s="24" t="s">
        <v>218</v>
      </c>
      <c r="C27" s="24" t="s">
        <v>203</v>
      </c>
      <c r="D27" s="24" t="s">
        <v>219</v>
      </c>
      <c r="E27" s="24">
        <v>62</v>
      </c>
      <c r="F27" s="24">
        <f t="shared" si="0"/>
        <v>24</v>
      </c>
    </row>
    <row r="28" spans="1:6" ht="38.25" thickBot="1">
      <c r="A28" s="23">
        <v>21</v>
      </c>
      <c r="B28" s="24" t="s">
        <v>220</v>
      </c>
      <c r="C28" s="24" t="s">
        <v>131</v>
      </c>
      <c r="D28" s="24" t="s">
        <v>221</v>
      </c>
      <c r="E28" s="24">
        <v>63</v>
      </c>
      <c r="F28" s="24">
        <f t="shared" si="0"/>
        <v>23</v>
      </c>
    </row>
    <row r="29" spans="1:6" ht="38.25" thickBot="1">
      <c r="A29" s="23">
        <v>22</v>
      </c>
      <c r="B29" s="24" t="s">
        <v>222</v>
      </c>
      <c r="C29" s="24" t="s">
        <v>203</v>
      </c>
      <c r="D29" s="24" t="s">
        <v>223</v>
      </c>
      <c r="E29" s="24">
        <v>64</v>
      </c>
      <c r="F29" s="24">
        <f t="shared" si="0"/>
        <v>22</v>
      </c>
    </row>
    <row r="30" spans="1:6" ht="38.25" thickBot="1">
      <c r="A30" s="23">
        <v>23</v>
      </c>
      <c r="B30" s="24" t="s">
        <v>224</v>
      </c>
      <c r="C30" s="24" t="s">
        <v>131</v>
      </c>
      <c r="D30" s="24" t="s">
        <v>225</v>
      </c>
      <c r="E30" s="24">
        <v>65</v>
      </c>
      <c r="F30" s="24">
        <f t="shared" si="0"/>
        <v>20</v>
      </c>
    </row>
    <row r="31" spans="1:6" ht="38.25" thickBot="1">
      <c r="A31" s="23">
        <v>24</v>
      </c>
      <c r="B31" s="24" t="s">
        <v>226</v>
      </c>
      <c r="C31" s="24" t="s">
        <v>203</v>
      </c>
      <c r="D31" s="24" t="s">
        <v>227</v>
      </c>
      <c r="E31" s="24">
        <v>66</v>
      </c>
      <c r="F31" s="24">
        <f t="shared" si="0"/>
        <v>19</v>
      </c>
    </row>
    <row r="32" spans="1:6" ht="38.25" thickBot="1">
      <c r="A32" s="23">
        <v>25</v>
      </c>
      <c r="B32" s="24" t="s">
        <v>228</v>
      </c>
      <c r="C32" s="24" t="s">
        <v>203</v>
      </c>
      <c r="D32" s="24" t="s">
        <v>229</v>
      </c>
      <c r="E32" s="24">
        <v>68</v>
      </c>
      <c r="F32" s="24">
        <f t="shared" si="0"/>
        <v>17</v>
      </c>
    </row>
    <row r="33" spans="1:6" ht="38.25" thickBot="1">
      <c r="A33" s="23">
        <v>26</v>
      </c>
      <c r="B33" s="24" t="s">
        <v>230</v>
      </c>
      <c r="C33" s="24" t="s">
        <v>203</v>
      </c>
      <c r="D33" s="24" t="s">
        <v>231</v>
      </c>
      <c r="E33" s="24">
        <v>69</v>
      </c>
      <c r="F33" s="24">
        <f t="shared" si="0"/>
        <v>15</v>
      </c>
    </row>
    <row r="34" spans="1:6" ht="38.25" thickBot="1">
      <c r="A34" s="23">
        <v>27</v>
      </c>
      <c r="B34" s="24" t="s">
        <v>232</v>
      </c>
      <c r="C34" s="24" t="s">
        <v>131</v>
      </c>
      <c r="D34" s="24" t="s">
        <v>233</v>
      </c>
      <c r="E34" s="24">
        <v>50</v>
      </c>
      <c r="F34" s="24">
        <f t="shared" si="0"/>
        <v>35</v>
      </c>
    </row>
    <row r="35" spans="1:6" ht="38.25" thickBot="1">
      <c r="A35" s="23">
        <v>28</v>
      </c>
      <c r="B35" s="24" t="s">
        <v>234</v>
      </c>
      <c r="C35" s="24" t="s">
        <v>203</v>
      </c>
      <c r="D35" s="24" t="s">
        <v>235</v>
      </c>
      <c r="E35" s="24">
        <v>74</v>
      </c>
      <c r="F35" s="24">
        <f t="shared" si="0"/>
        <v>10</v>
      </c>
    </row>
    <row r="36" spans="1:6" ht="38.25" thickBot="1">
      <c r="A36" s="34">
        <v>29</v>
      </c>
      <c r="B36" s="35" t="s">
        <v>236</v>
      </c>
      <c r="C36" s="35" t="s">
        <v>131</v>
      </c>
      <c r="D36" s="35" t="s">
        <v>237</v>
      </c>
      <c r="E36" s="35">
        <v>81</v>
      </c>
      <c r="F36" s="35">
        <f t="shared" si="0"/>
        <v>3</v>
      </c>
    </row>
    <row r="37" spans="1:6" ht="38.25" thickBot="1">
      <c r="A37" s="23">
        <v>30</v>
      </c>
      <c r="B37" s="24" t="s">
        <v>238</v>
      </c>
      <c r="C37" s="24" t="s">
        <v>203</v>
      </c>
      <c r="D37" s="24" t="s">
        <v>239</v>
      </c>
      <c r="E37" s="24">
        <f>'[1]КО1-243'!E40</f>
        <v>70</v>
      </c>
      <c r="F37" s="24">
        <f t="shared" si="0"/>
        <v>13</v>
      </c>
    </row>
    <row r="38" spans="1:6" ht="38.25" thickBot="1">
      <c r="A38" s="23">
        <v>31</v>
      </c>
      <c r="B38" s="24" t="s">
        <v>240</v>
      </c>
      <c r="C38" s="24" t="s">
        <v>203</v>
      </c>
      <c r="D38" s="24" t="s">
        <v>241</v>
      </c>
      <c r="E38" s="24">
        <f>'[1]КО2-243'!E40</f>
        <v>73</v>
      </c>
      <c r="F38" s="24">
        <f t="shared" si="0"/>
        <v>12</v>
      </c>
    </row>
    <row r="39" spans="1:6" ht="38.25" thickBot="1">
      <c r="A39" s="23">
        <v>32</v>
      </c>
      <c r="B39" s="24" t="s">
        <v>242</v>
      </c>
      <c r="C39" s="24" t="s">
        <v>131</v>
      </c>
      <c r="D39" s="24" t="s">
        <v>243</v>
      </c>
      <c r="E39" s="24">
        <v>79</v>
      </c>
      <c r="F39" s="24">
        <f t="shared" si="0"/>
        <v>5</v>
      </c>
    </row>
    <row r="40" spans="1:6" ht="38.25" thickBot="1">
      <c r="A40" s="23">
        <v>33</v>
      </c>
      <c r="B40" s="24" t="s">
        <v>244</v>
      </c>
      <c r="C40" s="24" t="s">
        <v>131</v>
      </c>
      <c r="D40" s="24" t="s">
        <v>245</v>
      </c>
      <c r="E40" s="24">
        <v>80</v>
      </c>
      <c r="F40" s="24">
        <f t="shared" si="0"/>
        <v>4</v>
      </c>
    </row>
    <row r="41" spans="1:6" ht="38.25" thickBot="1">
      <c r="A41" s="32">
        <v>34</v>
      </c>
      <c r="B41" s="33" t="s">
        <v>246</v>
      </c>
      <c r="C41" s="33" t="s">
        <v>131</v>
      </c>
      <c r="D41" s="33" t="s">
        <v>247</v>
      </c>
      <c r="E41" s="33">
        <v>82</v>
      </c>
      <c r="F41" s="33">
        <f t="shared" si="0"/>
        <v>2</v>
      </c>
    </row>
    <row r="42" spans="1:6" ht="38.25" thickBot="1">
      <c r="A42" s="23">
        <v>35</v>
      </c>
      <c r="B42" s="24" t="s">
        <v>248</v>
      </c>
      <c r="C42" s="24" t="s">
        <v>131</v>
      </c>
      <c r="D42" s="24" t="s">
        <v>249</v>
      </c>
      <c r="E42" s="24">
        <f>'[1]КО1-252'!E40</f>
        <v>77</v>
      </c>
      <c r="F42" s="24">
        <f t="shared" si="0"/>
        <v>6</v>
      </c>
    </row>
    <row r="43" spans="1:6" ht="38.25" thickBot="1">
      <c r="A43" s="23">
        <v>36</v>
      </c>
      <c r="B43" s="24" t="s">
        <v>250</v>
      </c>
      <c r="C43" s="24" t="s">
        <v>122</v>
      </c>
      <c r="D43" s="24" t="s">
        <v>251</v>
      </c>
      <c r="E43" s="24">
        <v>76</v>
      </c>
      <c r="F43" s="24">
        <f t="shared" si="0"/>
        <v>7</v>
      </c>
    </row>
    <row r="44" spans="1:6" ht="38.25" thickBot="1">
      <c r="A44" s="26">
        <v>37</v>
      </c>
      <c r="B44" s="27" t="s">
        <v>252</v>
      </c>
      <c r="C44" s="27" t="s">
        <v>131</v>
      </c>
      <c r="D44" s="27" t="s">
        <v>253</v>
      </c>
      <c r="E44" s="27">
        <f>'[1]КО1-253'!E40</f>
        <v>83</v>
      </c>
      <c r="F44" s="27">
        <f t="shared" si="0"/>
        <v>1</v>
      </c>
    </row>
    <row r="45" spans="1:6" ht="38.25" thickBot="1">
      <c r="A45" s="23">
        <v>38</v>
      </c>
      <c r="B45" s="24" t="s">
        <v>254</v>
      </c>
      <c r="C45" s="24" t="s">
        <v>131</v>
      </c>
      <c r="D45" s="24" t="s">
        <v>255</v>
      </c>
      <c r="E45" s="24">
        <v>60</v>
      </c>
      <c r="F45" s="24">
        <f t="shared" si="0"/>
        <v>26</v>
      </c>
    </row>
    <row r="46" spans="1:6" ht="38.25" thickBot="1">
      <c r="A46" s="23">
        <v>39</v>
      </c>
      <c r="B46" s="24" t="s">
        <v>256</v>
      </c>
      <c r="C46" s="24" t="s">
        <v>131</v>
      </c>
      <c r="D46" s="24" t="s">
        <v>257</v>
      </c>
      <c r="E46" s="36">
        <v>59</v>
      </c>
      <c r="F46" s="24">
        <f t="shared" si="0"/>
        <v>28</v>
      </c>
    </row>
    <row r="47" spans="1:6" ht="18.75">
      <c r="A47" s="82" t="s">
        <v>135</v>
      </c>
      <c r="B47" s="82"/>
      <c r="C47" s="82"/>
      <c r="D47" s="82"/>
      <c r="E47" s="82"/>
      <c r="F47" s="82"/>
    </row>
    <row r="48" spans="1:6" ht="18.75">
      <c r="A48" s="78" t="s">
        <v>136</v>
      </c>
      <c r="B48" s="78"/>
      <c r="C48" s="78"/>
      <c r="D48" s="78"/>
      <c r="E48" s="78"/>
      <c r="F48" s="78"/>
    </row>
    <row r="49" spans="1:6" ht="18.75">
      <c r="A49" s="79" t="s">
        <v>137</v>
      </c>
      <c r="B49" s="79"/>
      <c r="C49" s="79"/>
      <c r="D49" s="79"/>
      <c r="E49" s="79"/>
      <c r="F49" s="79"/>
    </row>
  </sheetData>
  <mergeCells count="14">
    <mergeCell ref="A47:F47"/>
    <mergeCell ref="A48:F48"/>
    <mergeCell ref="A49:F49"/>
    <mergeCell ref="B8:B9"/>
    <mergeCell ref="C8:C9"/>
    <mergeCell ref="D8:D9"/>
    <mergeCell ref="E8:E9"/>
    <mergeCell ref="F8:F9"/>
    <mergeCell ref="A6:F6"/>
    <mergeCell ref="A1:F1"/>
    <mergeCell ref="A2:F2"/>
    <mergeCell ref="A3:F3"/>
    <mergeCell ref="A4:F4"/>
    <mergeCell ref="A5:F5"/>
  </mergeCells>
  <conditionalFormatting sqref="M34">
    <cfRule type="expression" dxfId="1" priority="4">
      <formula>$F8=LARGE($F$8:$F$46, 25)</formula>
    </cfRule>
  </conditionalFormatting>
  <conditionalFormatting sqref="A8:F46">
    <cfRule type="top10" dxfId="0" priority="1" rank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65</vt:i4>
      </vt:variant>
    </vt:vector>
  </HeadingPairs>
  <TitlesOfParts>
    <vt:vector size="65" baseType="lpstr">
      <vt:lpstr>СТ-41</vt:lpstr>
      <vt:lpstr>КУГ-411</vt:lpstr>
      <vt:lpstr>КО1-211</vt:lpstr>
      <vt:lpstr>КО2-211</vt:lpstr>
      <vt:lpstr>КО3-211</vt:lpstr>
      <vt:lpstr>КУГ-212</vt:lpstr>
      <vt:lpstr>КО1-212</vt:lpstr>
      <vt:lpstr>КО2-212</vt:lpstr>
      <vt:lpstr>КУГ-213</vt:lpstr>
      <vt:lpstr>КО1-213</vt:lpstr>
      <vt:lpstr>КО2-213</vt:lpstr>
      <vt:lpstr>КУГ-214</vt:lpstr>
      <vt:lpstr>КО1-214</vt:lpstr>
      <vt:lpstr>СТ-22</vt:lpstr>
      <vt:lpstr>КУГ-221</vt:lpstr>
      <vt:lpstr>КО1-221</vt:lpstr>
      <vt:lpstr>КО2-221</vt:lpstr>
      <vt:lpstr>КО3-221</vt:lpstr>
      <vt:lpstr>КУГ-222</vt:lpstr>
      <vt:lpstr>КО1-222</vt:lpstr>
      <vt:lpstr>КО2-222</vt:lpstr>
      <vt:lpstr>КУГ-223</vt:lpstr>
      <vt:lpstr>КО1-223</vt:lpstr>
      <vt:lpstr>КО2-223</vt:lpstr>
      <vt:lpstr>КУГ-224</vt:lpstr>
      <vt:lpstr>КО1-224</vt:lpstr>
      <vt:lpstr>СТ-23</vt:lpstr>
      <vt:lpstr>КУГ-231</vt:lpstr>
      <vt:lpstr>КО1-231</vt:lpstr>
      <vt:lpstr>КО2-231</vt:lpstr>
      <vt:lpstr>КУГ-232</vt:lpstr>
      <vt:lpstr>КО1-232</vt:lpstr>
      <vt:lpstr>КО2-232</vt:lpstr>
      <vt:lpstr>КУГ-233</vt:lpstr>
      <vt:lpstr>КО1-233</vt:lpstr>
      <vt:lpstr>КО2-233</vt:lpstr>
      <vt:lpstr>КУГ-234</vt:lpstr>
      <vt:lpstr>КО1-234</vt:lpstr>
      <vt:lpstr>СТ-24</vt:lpstr>
      <vt:lpstr>КУГ-241</vt:lpstr>
      <vt:lpstr>КО1-241</vt:lpstr>
      <vt:lpstr>КО2-241</vt:lpstr>
      <vt:lpstr>КУГ-242</vt:lpstr>
      <vt:lpstr>КО1-242</vt:lpstr>
      <vt:lpstr>КО2-242</vt:lpstr>
      <vt:lpstr>КУГ-243</vt:lpstr>
      <vt:lpstr>КО1-243</vt:lpstr>
      <vt:lpstr>КО2-243</vt:lpstr>
      <vt:lpstr>КУГ-244</vt:lpstr>
      <vt:lpstr>КО1-244</vt:lpstr>
      <vt:lpstr>СТ-25</vt:lpstr>
      <vt:lpstr>КУГ-251</vt:lpstr>
      <vt:lpstr>КО1-251</vt:lpstr>
      <vt:lpstr>КО2-251</vt:lpstr>
      <vt:lpstr>КУГ-252</vt:lpstr>
      <vt:lpstr>КО1-252</vt:lpstr>
      <vt:lpstr>КО2-252</vt:lpstr>
      <vt:lpstr>КУГ-253</vt:lpstr>
      <vt:lpstr>КО1-253</vt:lpstr>
      <vt:lpstr>КО2-253</vt:lpstr>
      <vt:lpstr>КУГ-254</vt:lpstr>
      <vt:lpstr>КО1-254</vt:lpstr>
      <vt:lpstr>Рейтинг старшин</vt:lpstr>
      <vt:lpstr>Рейтинг КУГ</vt:lpstr>
      <vt:lpstr>Рейтинг КО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Колупанов Даниил Владиславович</dc:creator>
  <cp:lastModifiedBy>Соколовский Игорь Владимирович</cp:lastModifiedBy>
  <dcterms:created xsi:type="dcterms:W3CDTF">2015-06-05T18:19:34Z</dcterms:created>
  <dcterms:modified xsi:type="dcterms:W3CDTF">2026-10-29T04:59:38Z</dcterms:modified>
</cp:coreProperties>
</file>