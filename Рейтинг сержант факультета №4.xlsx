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835" firstSheet="45" activeTab="0" autoFilterDateGrouping="1"/>
  </bookViews>
  <sheets>
    <sheet name="СТ-41" sheetId="1" state="visible" r:id="rId1"/>
    <sheet name="ЗКВ-411" sheetId="2" state="visible" r:id="rId2"/>
    <sheet name="КО1-411" sheetId="3" state="visible" r:id="rId3"/>
    <sheet name="КО2-411" sheetId="4" state="visible" r:id="rId4"/>
    <sheet name="КО3-411" sheetId="5" state="visible" r:id="rId5"/>
    <sheet name="ЗКВ-412" sheetId="6" state="visible" r:id="rId6"/>
    <sheet name="КО1-412" sheetId="7" state="visible" r:id="rId7"/>
    <sheet name="КО2-412" sheetId="8" state="visible" r:id="rId8"/>
    <sheet name="КО3-412" sheetId="9" state="visible" r:id="rId9"/>
    <sheet name="ЗКВ-413" sheetId="10" state="visible" r:id="rId10"/>
    <sheet name="КО1-413" sheetId="11" state="visible" r:id="rId11"/>
    <sheet name="КО2-413" sheetId="12" state="visible" r:id="rId12"/>
    <sheet name="КО3-413" sheetId="13" state="visible" r:id="rId13"/>
    <sheet name="ЗКВ-414" sheetId="14" state="visible" r:id="rId14"/>
    <sheet name="КО1-414" sheetId="15" state="visible" r:id="rId15"/>
    <sheet name="КО2-414" sheetId="16" state="visible" r:id="rId16"/>
    <sheet name="КО3-414" sheetId="17" state="visible" r:id="rId17"/>
    <sheet name="СТ-42" sheetId="18" state="visible" r:id="rId18"/>
    <sheet name="ЗКВ-421" sheetId="19" state="visible" r:id="rId19"/>
    <sheet name="КО1-421" sheetId="20" state="visible" r:id="rId20"/>
    <sheet name="КО2-421" sheetId="21" state="visible" r:id="rId21"/>
    <sheet name="ЗКВ-422" sheetId="22" state="visible" r:id="rId22"/>
    <sheet name="КО1-422" sheetId="23" state="visible" r:id="rId23"/>
    <sheet name="КО2-422" sheetId="24" state="visible" r:id="rId24"/>
    <sheet name="КО3-422" sheetId="25" state="visible" r:id="rId25"/>
    <sheet name="ЗКВ-423" sheetId="26" state="visible" r:id="rId26"/>
    <sheet name="КО1-423" sheetId="27" state="visible" r:id="rId27"/>
    <sheet name="КО2-423" sheetId="28" state="visible" r:id="rId28"/>
    <sheet name="ЗКВ-424" sheetId="29" state="visible" r:id="rId29"/>
    <sheet name="КО1-424" sheetId="30" state="visible" r:id="rId30"/>
    <sheet name="КО2-424" sheetId="31" state="visible" r:id="rId31"/>
    <sheet name="КО3-424" sheetId="32" state="visible" r:id="rId32"/>
    <sheet name="СТ-43" sheetId="33" state="visible" r:id="rId33"/>
    <sheet name="ЗКВ-431" sheetId="34" state="visible" r:id="rId34"/>
    <sheet name="КО1-431" sheetId="35" state="visible" r:id="rId35"/>
    <sheet name="КО2-431" sheetId="36" state="visible" r:id="rId36"/>
    <sheet name="КО3-431" sheetId="37" state="visible" r:id="rId37"/>
    <sheet name="ЗКВ-432" sheetId="38" state="visible" r:id="rId38"/>
    <sheet name="КО1-432" sheetId="39" state="visible" r:id="rId39"/>
    <sheet name="КО2-432" sheetId="40" state="visible" r:id="rId40"/>
    <sheet name="ЗКВ-433" sheetId="41" state="visible" r:id="rId41"/>
    <sheet name="КО1-433" sheetId="42" state="visible" r:id="rId42"/>
    <sheet name="КО2-433" sheetId="43" state="visible" r:id="rId43"/>
    <sheet name="КО3-433" sheetId="44" state="visible" r:id="rId44"/>
    <sheet name="ЗКВ-434" sheetId="45" state="visible" r:id="rId45"/>
    <sheet name="КО1-434" sheetId="46" state="visible" r:id="rId46"/>
    <sheet name="КО2-434" sheetId="47" state="visible" r:id="rId47"/>
    <sheet name="КО3-434" sheetId="48" state="visible" r:id="rId48"/>
    <sheet name="СТ-44" sheetId="49" state="visible" r:id="rId49"/>
    <sheet name="ЗКВ-441" sheetId="50" state="visible" r:id="rId50"/>
    <sheet name="КО1-441" sheetId="51" state="visible" r:id="rId51"/>
    <sheet name="КО2-441" sheetId="52" state="visible" r:id="rId52"/>
    <sheet name="ЗКВ-442" sheetId="53" state="visible" r:id="rId53"/>
    <sheet name="КО1-442" sheetId="54" state="visible" r:id="rId54"/>
    <sheet name="КО2-442" sheetId="55" state="visible" r:id="rId55"/>
    <sheet name="ЗКВ-443" sheetId="56" state="visible" r:id="rId56"/>
    <sheet name="КО1-443" sheetId="57" state="visible" r:id="rId57"/>
    <sheet name="КО2-443" sheetId="58" state="visible" r:id="rId58"/>
    <sheet name="ЗКВ-444" sheetId="59" state="visible" r:id="rId59"/>
    <sheet name="КО1-444" sheetId="60" state="visible" r:id="rId60"/>
    <sheet name="КО2-444" sheetId="61" state="visible" r:id="rId61"/>
    <sheet name="КО3-444" sheetId="62" state="visible" r:id="rId62"/>
    <sheet name="СТ-45" sheetId="63" state="visible" r:id="rId63"/>
    <sheet name="ЗКВ-451" sheetId="64" state="visible" r:id="rId64"/>
    <sheet name="КО1-451" sheetId="65" state="visible" r:id="rId65"/>
    <sheet name="КО2-451" sheetId="66" state="visible" r:id="rId66"/>
    <sheet name="ЗКВ-452" sheetId="67" state="visible" r:id="rId67"/>
    <sheet name="КО1-452" sheetId="68" state="visible" r:id="rId68"/>
    <sheet name="КО2-452" sheetId="69" state="visible" r:id="rId69"/>
    <sheet name="ЗКВ-453" sheetId="70" state="visible" r:id="rId70"/>
    <sheet name="КО1-453" sheetId="71" state="visible" r:id="rId71"/>
    <sheet name="КО2-453" sheetId="72" state="visible" r:id="rId72"/>
    <sheet name="ЗКВ-454" sheetId="73" state="visible" r:id="rId73"/>
    <sheet name="КО1-454" sheetId="74" state="visible" r:id="rId74"/>
    <sheet name="КО2-454" sheetId="75" state="visible" r:id="rId75"/>
    <sheet name="КО3-454" sheetId="76" state="visible" r:id="rId76"/>
    <sheet name="Рейтинг старшин" sheetId="77" state="visible" r:id="rId77"/>
    <sheet name="Рейтинг ЗКВ" sheetId="78" state="visible" r:id="rId78"/>
    <sheet name="Рейтинг КО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rgb="FF000000"/>
      <sz val="16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6"/>
    </font>
    <font>
      <name val="Calibri"/>
      <family val="2"/>
      <color theme="1"/>
      <sz val="16"/>
      <scheme val="minor"/>
    </font>
    <font>
      <name val="Calibri"/>
      <family val="2"/>
      <color theme="10"/>
      <sz val="11"/>
      <u val="single"/>
      <scheme val="minor"/>
    </font>
    <font>
      <name val="Times New Roman"/>
      <charset val="204"/>
      <family val="1"/>
      <b val="1"/>
      <color rgb="FF000000"/>
      <sz val="14"/>
      <u val="single"/>
    </font>
    <font>
      <name val="Times New Roman"/>
      <charset val="204"/>
      <family val="1"/>
      <b val="1"/>
      <color rgb="FF000000"/>
      <sz val="8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sz val="14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000000"/>
      <sz val="13"/>
    </font>
    <font>
      <name val="Times New Roman"/>
      <b val="1"/>
      <sz val="14"/>
    </font>
    <font>
      <name val="Times New Roman"/>
      <sz val="14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/>
      <right style="medium"/>
      <top style="medium"/>
      <bottom style="medium"/>
    </border>
    <border>
      <top style="medium"/>
    </border>
  </borders>
  <cellStyleXfs count="2">
    <xf numFmtId="0" fontId="0" fillId="0" borderId="0"/>
    <xf numFmtId="0" fontId="9" fillId="0" borderId="0"/>
  </cellStyleXfs>
  <cellXfs count="103"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0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4" fillId="0" borderId="0" applyAlignment="1" pivotButton="0" quotePrefix="0" xfId="0">
      <alignment horizontal="justify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5" borderId="1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4" fillId="2" borderId="10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49" fontId="3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/>
    </xf>
    <xf numFmtId="0" fontId="4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49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2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1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17" fillId="0" borderId="0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14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/>
    </xf>
    <xf numFmtId="0" fontId="0" fillId="0" borderId="15" pivotButton="0" quotePrefix="0" xfId="0"/>
    <xf numFmtId="0" fontId="17" fillId="0" borderId="0" applyAlignment="1" pivotButton="0" quotePrefix="0" xfId="0">
      <alignment horizontal="center"/>
    </xf>
  </cellXfs>
  <cellStyles count="2">
    <cellStyle name="Обычный" xfId="0" builtinId="0"/>
    <cellStyle name="Гиперссылка" xfId="1" builtinId="8"/>
  </cellStyles>
  <dxfs count="5"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31.5703125" customWidth="1" min="4" max="4"/>
    <col hidden="1" width="33.85546875" customWidth="1" min="5" max="5"/>
    <col hidden="1" width="31.5703125" customWidth="1" min="6" max="7"/>
  </cols>
  <sheetData>
    <row r="1" ht="20.25" customHeight="1">
      <c r="A1" s="56" t="inlineStr">
        <is>
          <t>ВЕДОМОСТЬ</t>
        </is>
      </c>
      <c r="E1" s="11" t="n"/>
    </row>
    <row r="2" ht="18.75" customHeight="1">
      <c r="A2" s="57" t="inlineStr">
        <is>
          <t>индивидуальной оценки</t>
        </is>
      </c>
      <c r="E2" s="12" t="n"/>
    </row>
    <row r="3" ht="18.75" customHeight="1">
      <c r="A3" s="58" t="inlineStr">
        <is>
          <t>старшины 41 курса сержанта Шуплецова Евгения Андреевича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6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E7" s="16" t="inlineStr">
        <is>
          <t>Средний балл подразделения ≥ 4,5
Средний балл старшины курса ≥ 4,0</t>
        </is>
      </c>
    </row>
    <row r="8" ht="14.25" customHeight="1">
      <c r="A8" s="87" t="n"/>
      <c r="B8" s="87" t="n"/>
      <c r="C8" s="87" t="n"/>
      <c r="D8" s="87" t="n"/>
      <c r="E8" s="17" t="inlineStr">
        <is>
          <t>Средний балл подразделения ≥ 4,0
Средний балл старшины курса ≥ 4,0</t>
        </is>
      </c>
    </row>
    <row r="9" ht="18" customHeight="1" thickBot="1">
      <c r="A9" s="84" t="n"/>
      <c r="B9" s="84" t="n"/>
      <c r="C9" s="84" t="n"/>
      <c r="D9" s="84" t="n"/>
      <c r="E9" s="18" t="inlineStr">
        <is>
          <t>Средний балл подразделения &lt; 4,0
Средний балл старшины курса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14" t="n"/>
      <c r="D10" s="86">
        <f>IF(C10="В подразделении и у старшины курса отсутствуют академические задолженности",10,IF(C10="Имеются задолженности в подразделении или у старшины курса",0,""))</f>
        <v/>
      </c>
      <c r="E10" t="inlineStr">
        <is>
          <t>В подразделении и у старшины курса отсутствуют академические задолженности</t>
        </is>
      </c>
    </row>
    <row r="11" ht="26.25" customHeight="1" thickBot="1">
      <c r="A11" s="84" t="n"/>
      <c r="B11" s="84" t="n"/>
      <c r="C11" s="84" t="n"/>
      <c r="D11" s="84" t="n"/>
      <c r="E11" t="inlineStr">
        <is>
          <t>Имеются задолженности в подразделении или у старшины курса</t>
        </is>
      </c>
    </row>
    <row r="12">
      <c r="A12" s="85" t="inlineStr">
        <is>
          <t>3.</t>
        </is>
      </c>
      <c r="B12" s="86" t="inlineStr">
        <is>
          <t>Наличие текущих задолженностей</t>
        </is>
      </c>
      <c r="C12" s="14" t="n"/>
      <c r="D12" s="86">
        <f>IF(C12="Текущие задолженности в подразделении и у старшины курса отсутствуют",5,IF(C12="Имеются менее 10% задолженностей в подразделении или у старшины курса",3,IF(C12="Имеются более 10% задолженностей в подразделении или у старшины курса",0,"")))</f>
        <v/>
      </c>
      <c r="E12" t="inlineStr">
        <is>
          <t>Текущие задолженности в подразделении и у старшины курса отсутствуют</t>
        </is>
      </c>
    </row>
    <row r="13">
      <c r="A13" s="87" t="n"/>
      <c r="B13" s="87" t="n"/>
      <c r="C13" s="87" t="n"/>
      <c r="D13" s="87" t="n"/>
      <c r="E13" t="inlineStr">
        <is>
          <t>Имеются менее 10% задолженностей в подразделении или у старшины курса</t>
        </is>
      </c>
    </row>
    <row r="14" ht="30.75" customHeight="1" thickBot="1">
      <c r="A14" s="84" t="n"/>
      <c r="B14" s="84" t="n"/>
      <c r="C14" s="84" t="n"/>
      <c r="D14" s="84" t="n"/>
      <c r="E14" t="inlineStr">
        <is>
          <t>Имеются более 10% задолженностей в подразделении или у старшины курса</t>
        </is>
      </c>
    </row>
    <row r="15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n"/>
      <c r="D15" s="86">
        <f>IF(C15="Замечаний нет",5,IF(C15="Имеются замечания",0,""))</f>
        <v/>
      </c>
      <c r="E15" t="inlineStr">
        <is>
          <t>Замечаний нет</t>
        </is>
      </c>
    </row>
    <row r="16" ht="15.75" customHeight="1">
      <c r="A16" s="87" t="n"/>
      <c r="B16" s="87" t="n"/>
      <c r="C16" s="87" t="n"/>
      <c r="D16" s="87" t="n"/>
      <c r="E16" t="inlineStr">
        <is>
          <t>Имеются замечания</t>
        </is>
      </c>
    </row>
    <row r="17" ht="84" customHeight="1" thickBot="1">
      <c r="A17" s="84" t="n"/>
      <c r="B17" s="84" t="n"/>
      <c r="C17" s="84" t="n"/>
      <c r="D17" s="84" t="n"/>
    </row>
    <row r="18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n"/>
      <c r="D18" s="86">
        <f>IF(C18="ПРО, ПРЕ, ГДП в подразделении и у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сокрытие",0,"")))</f>
        <v/>
      </c>
      <c r="E18" t="inlineStr">
        <is>
          <t>ПРО, ПРЕ, ГДП в подразделении и у старшины курса отсутствуют</t>
        </is>
      </c>
    </row>
    <row r="19">
      <c r="A19" s="87" t="n"/>
      <c r="B19" s="87" t="n"/>
      <c r="C19" s="87" t="n"/>
      <c r="D19" s="87" t="n"/>
      <c r="E19" t="inlineStr">
        <is>
          <t>ПРО, ПРЕ отсутствуют, имеются не снятые взыскания за ГДП в подразделении, у старшины курса отсутствуют</t>
        </is>
      </c>
    </row>
    <row r="20" ht="38.25" customHeight="1" thickBot="1">
      <c r="A20" s="84" t="n"/>
      <c r="B20" s="84" t="n"/>
      <c r="C20" s="84" t="n"/>
      <c r="D20" s="84" t="n"/>
      <c r="E20" t="inlineStr">
        <is>
          <t>Совершено ПРО, ПРЕ, ГДП в подразделении или старшины курса или допущено сокрытие</t>
        </is>
      </c>
    </row>
    <row r="2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n"/>
      <c r="D21" s="86">
        <f>IF(C21="Дисциплинарная практика к подчиненному личному составу ведется",5,IF(C21="Дисциплинарная практика к подчиненному личному составу не реализуется или старшина курса имеет дисциплинарные взыскания",0,""))</f>
        <v/>
      </c>
      <c r="E21" t="inlineStr">
        <is>
          <t>Дисциплинарная практика к подчиненному личному составу ведется</t>
        </is>
      </c>
    </row>
    <row r="22" ht="33.75" customHeight="1" thickBot="1">
      <c r="A22" s="84" t="n"/>
      <c r="B22" s="84" t="n"/>
      <c r="C22" s="84" t="n"/>
      <c r="D22" s="84" t="n"/>
      <c r="E22" t="inlineStr">
        <is>
          <t>Дисциплинарная практика к подчиненному личному составу не реализуется или старшина курса имеет дисциплинарные взыскания</t>
        </is>
      </c>
    </row>
    <row r="23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n"/>
      <c r="D23" s="86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актуальна",0,"")))</f>
        <v/>
      </c>
      <c r="E23" t="inlineStr">
        <is>
          <t>Обстановкой владеет, доклады представляет, книжка сержантов актуальна</t>
        </is>
      </c>
    </row>
    <row r="24">
      <c r="A24" s="87" t="n"/>
      <c r="B24" s="87" t="n"/>
      <c r="C24" s="87" t="n"/>
      <c r="D24" s="87" t="n"/>
      <c r="E24" t="inlineStr">
        <is>
          <t>Обстановкой владеет, доклады представляет, книжка сержантов не актуальна</t>
        </is>
      </c>
    </row>
    <row r="25" ht="89.25" customHeight="1" thickBot="1">
      <c r="A25" s="84" t="n"/>
      <c r="B25" s="84" t="n"/>
      <c r="C25" s="84" t="n"/>
      <c r="D25" s="84" t="n"/>
      <c r="E25" t="inlineStr">
        <is>
          <t>Обстановкой не владеет, доклады не представляет, книжка сержантов не актуальна</t>
        </is>
      </c>
    </row>
    <row r="26">
      <c r="A26" s="85" t="inlineStr">
        <is>
          <t>8.</t>
        </is>
      </c>
      <c r="B26" s="86" t="inlineStr">
        <is>
          <t>Распределение увольнений</t>
        </is>
      </c>
      <c r="C26" s="86" t="n"/>
      <c r="D26" s="86">
        <f>IF(C26="Увольнения между учебными группами распределены равномерно",2,IF(C26="Увольнения между учебными группами распределены не равномерно",0,""))</f>
        <v/>
      </c>
      <c r="E26" t="inlineStr">
        <is>
          <t>Увольнения между учебными группами распределены равномерно</t>
        </is>
      </c>
    </row>
    <row r="27" ht="15.75" customHeight="1" thickBot="1">
      <c r="A27" s="84" t="n"/>
      <c r="B27" s="84" t="n"/>
      <c r="C27" s="84" t="n"/>
      <c r="D27" s="84" t="n"/>
      <c r="E27" t="inlineStr">
        <is>
          <t>Увольнения между учебными группами распределены не равномерно</t>
        </is>
      </c>
    </row>
    <row r="28">
      <c r="A28" s="85" t="inlineStr">
        <is>
          <t>9.</t>
        </is>
      </c>
      <c r="B28" s="86" t="inlineStr">
        <is>
          <t>Распределение нарядов, уборщиков по территории и расположению</t>
        </is>
      </c>
      <c r="C28" s="86" t="n"/>
      <c r="D28" s="86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равномерно",0,"")))</f>
        <v/>
      </c>
      <c r="E28" t="inlineStr">
        <is>
          <t>Наряды и уборщики распределены равномерно</t>
        </is>
      </c>
    </row>
    <row r="29">
      <c r="A29" s="87" t="n"/>
      <c r="B29" s="87" t="n"/>
      <c r="C29" s="87" t="n"/>
      <c r="D29" s="87" t="n"/>
      <c r="E29" t="inlineStr">
        <is>
          <t>Наряды распределены равномерно, уборщики не равномерно</t>
        </is>
      </c>
    </row>
    <row r="30" ht="41.25" customHeight="1" thickBot="1">
      <c r="A30" s="84" t="n"/>
      <c r="B30" s="84" t="n"/>
      <c r="C30" s="84" t="n"/>
      <c r="D30" s="84" t="n"/>
      <c r="E30" t="inlineStr">
        <is>
          <t>Наряды и уборщики распределены не равномерно</t>
        </is>
      </c>
    </row>
    <row r="31" ht="47.25" customHeight="1">
      <c r="A31" s="85" t="inlineStr">
        <is>
          <t>10.</t>
        </is>
      </c>
      <c r="B31" s="86" t="inlineStr">
        <is>
          <t>Организация подготовки суточного наряда назначенного от подразделения</t>
        </is>
      </c>
      <c r="C31" s="14" t="n"/>
      <c r="D31" s="86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допущен",0,"")))</f>
        <v/>
      </c>
      <c r="E31" t="inlineStr">
        <is>
          <t>Подготовка проведена, на разводе замечаний нет</t>
        </is>
      </c>
    </row>
    <row r="32">
      <c r="A32" s="87" t="n"/>
      <c r="B32" s="87" t="n"/>
      <c r="C32" s="87" t="n"/>
      <c r="D32" s="87" t="n"/>
      <c r="E32" t="inlineStr">
        <is>
          <t>Подготовка проведена, на разводе более трех замечаний</t>
        </is>
      </c>
    </row>
    <row r="33" ht="7.5" customHeight="1" thickBot="1">
      <c r="A33" s="84" t="n"/>
      <c r="B33" s="84" t="n"/>
      <c r="C33" s="84" t="n"/>
      <c r="D33" s="84" t="n"/>
      <c r="E33" t="inlineStr">
        <is>
          <t>Подготовка не проведена, на разводе более трех замечаний или личный состав не допущен</t>
        </is>
      </c>
    </row>
    <row r="34">
      <c r="A34" s="85" t="inlineStr">
        <is>
          <t>11.</t>
        </is>
      </c>
      <c r="B34" s="86" t="inlineStr">
        <is>
          <t>Несение службы наряда, назначенного от подразделения</t>
        </is>
      </c>
      <c r="C34" s="14" t="n"/>
      <c r="D34" s="86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«хорошо»",0,"")))</f>
        <v/>
      </c>
      <c r="E34" t="inlineStr">
        <is>
          <t>Замечаний нет, оценка старшине не ниже «хорошо»</t>
        </is>
      </c>
    </row>
    <row r="35">
      <c r="A35" s="87" t="n"/>
      <c r="B35" s="87" t="n"/>
      <c r="C35" s="87" t="n"/>
      <c r="D35" s="87" t="n"/>
      <c r="E35" t="inlineStr">
        <is>
          <t>Замечаний не более пяти, оценка старшине не ниже «хорошо»</t>
        </is>
      </c>
    </row>
    <row r="36" ht="39" customHeight="1" thickBot="1">
      <c r="A36" s="84" t="n"/>
      <c r="B36" s="84" t="n"/>
      <c r="C36" s="84" t="n"/>
      <c r="D36" s="84" t="n"/>
      <c r="E36" t="inlineStr">
        <is>
          <t>Замечаний более пяти или наряд отстранен, оценка старшине ниже «хорошо»</t>
        </is>
      </c>
    </row>
    <row r="37">
      <c r="A37" s="85" t="inlineStr">
        <is>
          <t>12.</t>
        </is>
      </c>
      <c r="B37" s="86" t="inlineStr">
        <is>
          <t>Соблюдение требований безопасности</t>
        </is>
      </c>
      <c r="C37" s="14" t="n"/>
      <c r="D37" s="86">
        <f>IF(C37="Нарушений ТБ, приведших к травматизму л/с нет",10,IF(C37="Есть нарушения ТБ, приведшие к травматизму л/с",0,""))</f>
        <v/>
      </c>
      <c r="E37" t="inlineStr">
        <is>
          <t>Нарушений ТБ, приведших к травматизму л/с нет</t>
        </is>
      </c>
    </row>
    <row r="38" ht="33.75" customHeight="1" thickBot="1">
      <c r="A38" s="84" t="n"/>
      <c r="B38" s="84" t="n"/>
      <c r="C38" s="84" t="n"/>
      <c r="D38" s="84" t="n"/>
      <c r="E38" t="inlineStr">
        <is>
          <t>Есть нарушения ТБ, приведшие к травматизму л/с</t>
        </is>
      </c>
    </row>
    <row r="39">
      <c r="A39" s="85" t="inlineStr">
        <is>
          <t>13.</t>
        </is>
      </c>
      <c r="B39" s="86" t="inlineStr">
        <is>
          <t>Соблюдение элементов распорядка дня</t>
        </is>
      </c>
      <c r="C39" s="14" t="n"/>
      <c r="D39" s="86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сорвано",0,"")))</f>
        <v/>
      </c>
      <c r="E39" t="inlineStr">
        <is>
          <t>Элементы распорядка дня соблюдаются</t>
        </is>
      </c>
    </row>
    <row r="40">
      <c r="A40" s="87" t="n"/>
      <c r="B40" s="87" t="n"/>
      <c r="C40" s="87" t="n"/>
      <c r="D40" s="87" t="n"/>
      <c r="E40" t="inlineStr">
        <is>
          <t>Не более пяти нарушений распорядка дня, срывов мероприятий не допущено</t>
        </is>
      </c>
    </row>
    <row r="41" ht="15.75" customHeight="1" thickBot="1">
      <c r="A41" s="84" t="n"/>
      <c r="B41" s="84" t="n"/>
      <c r="C41" s="84" t="n"/>
      <c r="D41" s="84" t="n"/>
      <c r="E41" t="inlineStr">
        <is>
          <t>Более пяти нарушений элементов распорядка дня или мероприятие сорвано</t>
        </is>
      </c>
    </row>
    <row r="42">
      <c r="A42" s="85" t="inlineStr">
        <is>
          <t>14.</t>
        </is>
      </c>
      <c r="B42" s="14" t="inlineStr">
        <is>
          <t>Состояние материальных средств
(в том числе оружия)</t>
        </is>
      </c>
      <c r="C42" s="14" t="n"/>
      <c r="D42" s="86">
        <f>IF(C42="Материальные средства подразделения в наличии, исправны, обслужены, хранятся правильно",5,IF(C42="Не выполнены предъявляемые критерии",0,""))</f>
        <v/>
      </c>
      <c r="E42" t="inlineStr">
        <is>
          <t>Материальные средства подразделения в наличии, исправны, обслужены, хранятся правильно</t>
        </is>
      </c>
    </row>
    <row r="43" ht="39.75" customHeight="1" thickBot="1">
      <c r="A43" s="84" t="n"/>
      <c r="B43" s="84" t="n"/>
      <c r="C43" s="84" t="n"/>
      <c r="D43" s="84" t="n"/>
      <c r="E43" t="inlineStr">
        <is>
          <t>Не выполнены предъявляемые критерии</t>
        </is>
      </c>
    </row>
    <row r="44">
      <c r="A44" s="85" t="inlineStr">
        <is>
          <t>15.</t>
        </is>
      </c>
      <c r="B44" s="14" t="inlineStr">
        <is>
          <t>Успеваемость по физической подготовке (культуре) старшины 
(по итогам промежуточной аттестации)</t>
        </is>
      </c>
      <c r="C44" s="14" t="n"/>
      <c r="D44" s="86">
        <f>IF(C44="Оценка по физической подготовке (культуре) - 5",2,IF(C44="Оценка по физической подготовке (культуре) - 4",1,""))</f>
        <v/>
      </c>
      <c r="E44" t="inlineStr">
        <is>
          <t>Оценка по физической подготовке (культуре) - 5</t>
        </is>
      </c>
    </row>
    <row r="45" ht="95.25" customHeight="1" thickBot="1">
      <c r="A45" s="84" t="n"/>
      <c r="B45" s="84" t="n"/>
      <c r="C45" s="84" t="n"/>
      <c r="D45" s="84" t="n"/>
      <c r="E45" t="inlineStr">
        <is>
          <t>Оценка по физической подготовке (культуре) - 4</t>
        </is>
      </c>
    </row>
    <row r="46" ht="15.75" customHeight="1">
      <c r="A46" s="88" t="inlineStr">
        <is>
          <t>Итоговая сумма баллов:</t>
        </is>
      </c>
      <c r="B46" s="89" t="n"/>
      <c r="C46" s="89" t="n"/>
      <c r="D46" s="90">
        <f>SUM(D7:D45)</f>
        <v/>
      </c>
      <c r="E46" s="8" t="n"/>
    </row>
    <row r="47" ht="16.5" customHeight="1" thickBot="1">
      <c r="A47" s="91" t="n"/>
      <c r="B47" s="92" t="n"/>
      <c r="C47" s="92" t="n"/>
      <c r="D47" s="84" t="n"/>
      <c r="E47" s="8" t="n"/>
    </row>
    <row r="49" ht="20.25" customHeight="1">
      <c r="A49" s="37" t="inlineStr">
        <is>
          <t xml:space="preserve">Начальник курса </t>
        </is>
      </c>
      <c r="D49" s="5" t="n"/>
      <c r="E49" s="5" t="n"/>
    </row>
    <row r="50" ht="20.25" customHeight="1">
      <c r="A50" s="38" t="inlineStr">
        <is>
          <t>________________</t>
        </is>
      </c>
      <c r="D50" s="6" t="n"/>
      <c r="E50" s="6" t="n"/>
    </row>
    <row r="51" ht="21" customHeight="1">
      <c r="A51" s="9" t="n"/>
      <c r="B51" s="9" t="n"/>
      <c r="C51" s="10" t="inlineStr">
        <is>
          <t>________________</t>
        </is>
      </c>
      <c r="D51" s="5" t="n"/>
      <c r="E51" s="9" t="n"/>
    </row>
  </sheetData>
  <mergeCells count="71">
    <mergeCell ref="A12:A14"/>
    <mergeCell ref="D15:D17"/>
    <mergeCell ref="C12:C14"/>
    <mergeCell ref="C39:C41"/>
    <mergeCell ref="C42:C43"/>
    <mergeCell ref="B34:B36"/>
    <mergeCell ref="D12:D14"/>
    <mergeCell ref="D21:D22"/>
    <mergeCell ref="B15:B17"/>
    <mergeCell ref="A23:A25"/>
    <mergeCell ref="D46:D47"/>
    <mergeCell ref="C10:C11"/>
    <mergeCell ref="A50:C50"/>
    <mergeCell ref="C23:C25"/>
    <mergeCell ref="B42:B43"/>
    <mergeCell ref="D18:D20"/>
    <mergeCell ref="C44:C45"/>
    <mergeCell ref="C26:C27"/>
    <mergeCell ref="D23:D25"/>
    <mergeCell ref="B21:B22"/>
    <mergeCell ref="C7:C9"/>
    <mergeCell ref="D39:D41"/>
    <mergeCell ref="A34:A36"/>
    <mergeCell ref="A26:A27"/>
    <mergeCell ref="A28:A30"/>
    <mergeCell ref="C34:C36"/>
    <mergeCell ref="C21:C22"/>
    <mergeCell ref="C28:C30"/>
    <mergeCell ref="A15:A17"/>
    <mergeCell ref="A37:A38"/>
    <mergeCell ref="B7:B9"/>
    <mergeCell ref="B10:B11"/>
    <mergeCell ref="A31:A33"/>
    <mergeCell ref="C18:C20"/>
    <mergeCell ref="B37:B38"/>
    <mergeCell ref="A21:A22"/>
    <mergeCell ref="A3:E3"/>
    <mergeCell ref="B44:B45"/>
    <mergeCell ref="A1:D1"/>
    <mergeCell ref="B31:B33"/>
    <mergeCell ref="A39:A41"/>
    <mergeCell ref="D31:D33"/>
    <mergeCell ref="C15:C17"/>
    <mergeCell ref="D34:D36"/>
    <mergeCell ref="A42:A43"/>
    <mergeCell ref="B12:B14"/>
    <mergeCell ref="D37:D38"/>
    <mergeCell ref="D42:D43"/>
    <mergeCell ref="A10:A11"/>
    <mergeCell ref="B5:B6"/>
    <mergeCell ref="B18:B20"/>
    <mergeCell ref="A46:C47"/>
    <mergeCell ref="D5:D6"/>
    <mergeCell ref="A44:A45"/>
    <mergeCell ref="D44:D45"/>
    <mergeCell ref="B23:B25"/>
    <mergeCell ref="A4:E4"/>
    <mergeCell ref="D10:D11"/>
    <mergeCell ref="C31:C33"/>
    <mergeCell ref="A49:C49"/>
    <mergeCell ref="A7:A9"/>
    <mergeCell ref="B39:B41"/>
    <mergeCell ref="D26:D27"/>
    <mergeCell ref="C37:C38"/>
    <mergeCell ref="D7:D9"/>
    <mergeCell ref="A2:D2"/>
    <mergeCell ref="B26:B27"/>
    <mergeCell ref="B28:B30"/>
    <mergeCell ref="A18:A20"/>
    <mergeCell ref="D28:D30"/>
    <mergeCell ref="C5:C6"/>
  </mergeCells>
  <dataValidations count="15">
    <dataValidation sqref="C7:C9" showDropDown="0" showInputMessage="1" showErrorMessage="1" allowBlank="1" type="list">
      <formula1>$E$7:$E$9</formula1>
    </dataValidation>
    <dataValidation sqref="C10:C11" showDropDown="0" showInputMessage="1" showErrorMessage="1" allowBlank="1" type="list">
      <formula1>$E$10:$E$11</formula1>
    </dataValidation>
    <dataValidation sqref="C12:C14" showDropDown="0" showInputMessage="1" showErrorMessage="1" allowBlank="1" type="list">
      <formula1>$E$12:$E$14</formula1>
    </dataValidation>
    <dataValidation sqref="C15:C16" showDropDown="0" showInputMessage="1" showErrorMessage="1" allowBlank="1" type="list">
      <formula1>$E$15:$E$16</formula1>
    </dataValidation>
    <dataValidation sqref="C18:C20" showDropDown="0" showInputMessage="1" showErrorMessage="1" allowBlank="1" type="list">
      <formula1>$E$18:$E$20</formula1>
    </dataValidation>
    <dataValidation sqref="C21:C22" showDropDown="0" showInputMessage="1" showErrorMessage="1" allowBlank="1" type="list">
      <formula1>$E$21:$E$22</formula1>
    </dataValidation>
    <dataValidation sqref="C23:C25" showDropDown="0" showInputMessage="1" showErrorMessage="1" allowBlank="1" type="list">
      <formula1>$E$23:$E$25</formula1>
    </dataValidation>
    <dataValidation sqref="C26:C27" showDropDown="0" showInputMessage="1" showErrorMessage="1" allowBlank="1" type="list">
      <formula1>$E$26:$E$27</formula1>
    </dataValidation>
    <dataValidation sqref="C28:C30" showDropDown="0" showInputMessage="1" showErrorMessage="1" allowBlank="1" type="list">
      <formula1>$E$28:$E$30</formula1>
    </dataValidation>
    <dataValidation sqref="C31:C33" showDropDown="0" showInputMessage="1" showErrorMessage="1" allowBlank="1" type="list">
      <formula1>$E$31:$E$33</formula1>
    </dataValidation>
    <dataValidation sqref="C34:C36" showDropDown="0" showInputMessage="1" showErrorMessage="1" allowBlank="1" type="list">
      <formula1>$E$34:$E$36</formula1>
    </dataValidation>
    <dataValidation sqref="C37:C38" showDropDown="0" showInputMessage="1" showErrorMessage="1" allowBlank="1" type="list">
      <formula1>$E$37:$E$38</formula1>
    </dataValidation>
    <dataValidation sqref="C39:C41" showDropDown="0" showInputMessage="1" showErrorMessage="1" allowBlank="1" type="list">
      <formula1>$E$39:$E$41</formula1>
    </dataValidation>
    <dataValidation sqref="C42:C43" showDropDown="0" showInputMessage="1" showErrorMessage="1" allowBlank="1" type="list">
      <formula1>$E$42:$E$43</formula1>
    </dataValidation>
    <dataValidation sqref="C44:C45" showDropDown="0" showInputMessage="1" showErrorMessage="1" allowBlank="1" type="list">
      <formula1>$E$44:$E$45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411 учебной группы сержанта Бойцова Владимира Юрьевича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411 учебной группы сержанта Романова Дмитрия Вячеславовича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411 учебной группы ефрейтора Шахова Вадима Владимировича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411 учебной группы рядового Тимофеева Дмитрия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412 учебной группы сержанта Дворянова Дмитрия Андреевича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412 учебной группы младшего сержанта Мещерякова Степана Владимировича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412 учебной группы рядового Шкрядо Андрея Сергеевича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412 учебной группы ефрейтора Салямова Олега Дмитриевича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413 учебной группы рядового Иванова Глеба Владимировича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413 учебной группы ефрейтора Губина Дмитрия Владимировича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413 учебной группы рядового Жуганина Константина Васильевича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413 учебной группы рядового Александрина Льва Николаевича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414 учебной группы младшего сержанта Трошина Кирилла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414 учебной группы ефрейтора Радченко Александра Юрьевича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414 учебной группы рядового Жилина Матвея Михайловича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414 учебной группы ефрейтора Семакина Кирилла Евгеньевича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31.5703125" customWidth="1" min="4" max="4"/>
    <col hidden="1" width="33.85546875" customWidth="1" min="5" max="5"/>
    <col hidden="1" width="31.5703125" customWidth="1" min="6" max="7"/>
  </cols>
  <sheetData>
    <row r="1" ht="20.25" customHeight="1">
      <c r="A1" s="56" t="inlineStr">
        <is>
          <t>ВЕДОМОСТЬ</t>
        </is>
      </c>
      <c r="E1" s="11" t="n"/>
    </row>
    <row r="2" ht="18.75" customHeight="1">
      <c r="A2" s="57" t="inlineStr">
        <is>
          <t>индивидуальной оценки</t>
        </is>
      </c>
      <c r="E2" s="12" t="n"/>
    </row>
    <row r="3" ht="18.75" customHeight="1">
      <c r="A3" s="58" t="inlineStr">
        <is>
          <t>и.о. старшины 42 курса младшего сержанта Корнакова Кирилла Максимовича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6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E7" s="16" t="inlineStr">
        <is>
          <t>Средний балл подразделения ≥ 4,5
Средний балл старшины курса ≥ 4,0</t>
        </is>
      </c>
    </row>
    <row r="8" ht="14.25" customHeight="1">
      <c r="A8" s="87" t="n"/>
      <c r="B8" s="87" t="n"/>
      <c r="C8" s="87" t="n"/>
      <c r="D8" s="87" t="n"/>
      <c r="E8" s="17" t="inlineStr">
        <is>
          <t>Средний балл подразделения ≥ 4,0
Средний балл старшины курса ≥ 4,0</t>
        </is>
      </c>
    </row>
    <row r="9" ht="18" customHeight="1" thickBot="1">
      <c r="A9" s="84" t="n"/>
      <c r="B9" s="84" t="n"/>
      <c r="C9" s="84" t="n"/>
      <c r="D9" s="84" t="n"/>
      <c r="E9" s="18" t="inlineStr">
        <is>
          <t>Средний балл подразделения &lt; 4,0
Средний балл старшины курса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14" t="n"/>
      <c r="D10" s="86">
        <f>IF(C10="В подразделении и у старшины курса отсутствуют академические задолженности",10,IF(C10="Имеются задолженности в подразделении или у старшины курса",0,""))</f>
        <v/>
      </c>
      <c r="E10" t="inlineStr">
        <is>
          <t>В подразделении и у старшины курса отсутствуют академические задолженности</t>
        </is>
      </c>
    </row>
    <row r="11" ht="26.25" customHeight="1" thickBot="1">
      <c r="A11" s="84" t="n"/>
      <c r="B11" s="84" t="n"/>
      <c r="C11" s="84" t="n"/>
      <c r="D11" s="84" t="n"/>
      <c r="E11" t="inlineStr">
        <is>
          <t>Имеются задолженности в подразделении или у старшины курса</t>
        </is>
      </c>
    </row>
    <row r="12">
      <c r="A12" s="85" t="inlineStr">
        <is>
          <t>3.</t>
        </is>
      </c>
      <c r="B12" s="86" t="inlineStr">
        <is>
          <t>Наличие текущих задолженностей</t>
        </is>
      </c>
      <c r="C12" s="14" t="n"/>
      <c r="D12" s="86">
        <f>IF(C12="Текущие задолженности в подразделении и у старшины курса отсутствуют",5,IF(C12="Имеются менее 10% задолженностей в подразделении или у старшины курса",3,IF(C12="Имеются более 10% задолженностей в подразделении или у старшины курса",0,"")))</f>
        <v/>
      </c>
      <c r="E12" t="inlineStr">
        <is>
          <t>Текущие задолженности в подразделении и у старшины курса отсутствуют</t>
        </is>
      </c>
    </row>
    <row r="13">
      <c r="A13" s="87" t="n"/>
      <c r="B13" s="87" t="n"/>
      <c r="C13" s="87" t="n"/>
      <c r="D13" s="87" t="n"/>
      <c r="E13" t="inlineStr">
        <is>
          <t>Имеются менее 10% задолженностей в подразделении или у старшины курса</t>
        </is>
      </c>
    </row>
    <row r="14" ht="30.75" customHeight="1" thickBot="1">
      <c r="A14" s="84" t="n"/>
      <c r="B14" s="84" t="n"/>
      <c r="C14" s="84" t="n"/>
      <c r="D14" s="84" t="n"/>
      <c r="E14" t="inlineStr">
        <is>
          <t>Имеются более 10% задолженностей в подразделении или у старшины курса</t>
        </is>
      </c>
    </row>
    <row r="15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n"/>
      <c r="D15" s="86">
        <f>IF(C15="Замечаний нет",5,IF(C15="Имеются замечания",0,""))</f>
        <v/>
      </c>
      <c r="E15" t="inlineStr">
        <is>
          <t>Замечаний нет</t>
        </is>
      </c>
    </row>
    <row r="16" ht="15.75" customHeight="1">
      <c r="A16" s="87" t="n"/>
      <c r="B16" s="87" t="n"/>
      <c r="C16" s="87" t="n"/>
      <c r="D16" s="87" t="n"/>
      <c r="E16" t="inlineStr">
        <is>
          <t>Имеются замечания</t>
        </is>
      </c>
    </row>
    <row r="17" ht="84" customHeight="1" thickBot="1">
      <c r="A17" s="84" t="n"/>
      <c r="B17" s="84" t="n"/>
      <c r="C17" s="84" t="n"/>
      <c r="D17" s="84" t="n"/>
    </row>
    <row r="18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n"/>
      <c r="D18" s="86">
        <f>IF(C18="ПРО, ПРЕ, ГДП в подразделении и у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сокрытие",0,"")))</f>
        <v/>
      </c>
      <c r="E18" t="inlineStr">
        <is>
          <t>ПРО, ПРЕ, ГДП в подразделении и у старшины курса отсутствуют</t>
        </is>
      </c>
    </row>
    <row r="19">
      <c r="A19" s="87" t="n"/>
      <c r="B19" s="87" t="n"/>
      <c r="C19" s="87" t="n"/>
      <c r="D19" s="87" t="n"/>
      <c r="E19" t="inlineStr">
        <is>
          <t>ПРО, ПРЕ отсутствуют, имеются не снятые взыскания за ГДП в подразделении, у старшины курса отсутствуют</t>
        </is>
      </c>
    </row>
    <row r="20" ht="38.25" customHeight="1" thickBot="1">
      <c r="A20" s="84" t="n"/>
      <c r="B20" s="84" t="n"/>
      <c r="C20" s="84" t="n"/>
      <c r="D20" s="84" t="n"/>
      <c r="E20" t="inlineStr">
        <is>
          <t>Совершено ПРО, ПРЕ, ГДП в подразделении или старшины курса или допущено сокрытие</t>
        </is>
      </c>
    </row>
    <row r="2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n"/>
      <c r="D21" s="86">
        <f>IF(C21="Дисциплинарная практика к подчиненному личному составу ведется",5,IF(C21="Дисциплинарная практика к подчиненному личному составу не реализуется или старшина курса имеет дисциплинарные взыскания",0,""))</f>
        <v/>
      </c>
      <c r="E21" t="inlineStr">
        <is>
          <t>Дисциплинарная практика к подчиненному личному составу ведется</t>
        </is>
      </c>
    </row>
    <row r="22" ht="33.75" customHeight="1" thickBot="1">
      <c r="A22" s="84" t="n"/>
      <c r="B22" s="84" t="n"/>
      <c r="C22" s="84" t="n"/>
      <c r="D22" s="84" t="n"/>
      <c r="E22" t="inlineStr">
        <is>
          <t>Дисциплинарная практика к подчиненному личному составу не реализуется или старшина курса имеет дисциплинарные взыскания</t>
        </is>
      </c>
    </row>
    <row r="23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n"/>
      <c r="D23" s="86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актуальна",0,"")))</f>
        <v/>
      </c>
      <c r="E23" t="inlineStr">
        <is>
          <t>Обстановкой владеет, доклады представляет, книжка сержантов актуальна</t>
        </is>
      </c>
    </row>
    <row r="24">
      <c r="A24" s="87" t="n"/>
      <c r="B24" s="87" t="n"/>
      <c r="C24" s="87" t="n"/>
      <c r="D24" s="87" t="n"/>
      <c r="E24" t="inlineStr">
        <is>
          <t>Обстановкой владеет, доклады представляет, книжка сержантов не актуальна</t>
        </is>
      </c>
    </row>
    <row r="25" ht="89.25" customHeight="1" thickBot="1">
      <c r="A25" s="84" t="n"/>
      <c r="B25" s="84" t="n"/>
      <c r="C25" s="84" t="n"/>
      <c r="D25" s="84" t="n"/>
      <c r="E25" t="inlineStr">
        <is>
          <t>Обстановкой не владеет, доклады не представляет, книжка сержантов не актуальна</t>
        </is>
      </c>
    </row>
    <row r="26">
      <c r="A26" s="85" t="inlineStr">
        <is>
          <t>8.</t>
        </is>
      </c>
      <c r="B26" s="86" t="inlineStr">
        <is>
          <t>Распределение увольнений</t>
        </is>
      </c>
      <c r="C26" s="86" t="n"/>
      <c r="D26" s="86">
        <f>IF(C26="Увольнения между учебными группами распределены равномерно",2,IF(C26="Увольнения между учебными группами распределены не равномерно",0,""))</f>
        <v/>
      </c>
      <c r="E26" t="inlineStr">
        <is>
          <t>Увольнения между учебными группами распределены равномерно</t>
        </is>
      </c>
    </row>
    <row r="27" ht="15.75" customHeight="1" thickBot="1">
      <c r="A27" s="84" t="n"/>
      <c r="B27" s="84" t="n"/>
      <c r="C27" s="84" t="n"/>
      <c r="D27" s="84" t="n"/>
      <c r="E27" t="inlineStr">
        <is>
          <t>Увольнения между учебными группами распределены не равномерно</t>
        </is>
      </c>
    </row>
    <row r="28">
      <c r="A28" s="85" t="inlineStr">
        <is>
          <t>9.</t>
        </is>
      </c>
      <c r="B28" s="86" t="inlineStr">
        <is>
          <t>Распределение нарядов, уборщиков по территории и расположению</t>
        </is>
      </c>
      <c r="C28" s="86" t="n"/>
      <c r="D28" s="86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равномерно",0,"")))</f>
        <v/>
      </c>
      <c r="E28" t="inlineStr">
        <is>
          <t>Наряды и уборщики распределены равномерно</t>
        </is>
      </c>
    </row>
    <row r="29">
      <c r="A29" s="87" t="n"/>
      <c r="B29" s="87" t="n"/>
      <c r="C29" s="87" t="n"/>
      <c r="D29" s="87" t="n"/>
      <c r="E29" t="inlineStr">
        <is>
          <t>Наряды распределены равномерно, уборщики не равномерно</t>
        </is>
      </c>
    </row>
    <row r="30" ht="41.25" customHeight="1" thickBot="1">
      <c r="A30" s="84" t="n"/>
      <c r="B30" s="84" t="n"/>
      <c r="C30" s="84" t="n"/>
      <c r="D30" s="84" t="n"/>
      <c r="E30" t="inlineStr">
        <is>
          <t>Наряды и уборщики распределены не равномерно</t>
        </is>
      </c>
    </row>
    <row r="31" ht="47.25" customHeight="1">
      <c r="A31" s="85" t="inlineStr">
        <is>
          <t>10.</t>
        </is>
      </c>
      <c r="B31" s="86" t="inlineStr">
        <is>
          <t>Организация подготовки суточного наряда назначенного от подразделения</t>
        </is>
      </c>
      <c r="C31" s="14" t="n"/>
      <c r="D31" s="86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допущен",0,"")))</f>
        <v/>
      </c>
      <c r="E31" t="inlineStr">
        <is>
          <t>Подготовка проведена, на разводе замечаний нет</t>
        </is>
      </c>
    </row>
    <row r="32">
      <c r="A32" s="87" t="n"/>
      <c r="B32" s="87" t="n"/>
      <c r="C32" s="87" t="n"/>
      <c r="D32" s="87" t="n"/>
      <c r="E32" t="inlineStr">
        <is>
          <t>Подготовка проведена, на разводе более трех замечаний</t>
        </is>
      </c>
    </row>
    <row r="33" ht="7.5" customHeight="1" thickBot="1">
      <c r="A33" s="84" t="n"/>
      <c r="B33" s="84" t="n"/>
      <c r="C33" s="84" t="n"/>
      <c r="D33" s="84" t="n"/>
      <c r="E33" t="inlineStr">
        <is>
          <t>Подготовка не проведена, на разводе более трех замечаний или личный состав не допущен</t>
        </is>
      </c>
    </row>
    <row r="34">
      <c r="A34" s="85" t="inlineStr">
        <is>
          <t>11.</t>
        </is>
      </c>
      <c r="B34" s="86" t="inlineStr">
        <is>
          <t>Несение службы наряда, назначенного от подразделения</t>
        </is>
      </c>
      <c r="C34" s="14" t="n"/>
      <c r="D34" s="86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«хорошо»",0,"")))</f>
        <v/>
      </c>
      <c r="E34" t="inlineStr">
        <is>
          <t>Замечаний нет, оценка старшине не ниже «хорошо»</t>
        </is>
      </c>
    </row>
    <row r="35">
      <c r="A35" s="87" t="n"/>
      <c r="B35" s="87" t="n"/>
      <c r="C35" s="87" t="n"/>
      <c r="D35" s="87" t="n"/>
      <c r="E35" t="inlineStr">
        <is>
          <t>Замечаний не более пяти, оценка старшине не ниже «хорошо»</t>
        </is>
      </c>
    </row>
    <row r="36" ht="39" customHeight="1" thickBot="1">
      <c r="A36" s="84" t="n"/>
      <c r="B36" s="84" t="n"/>
      <c r="C36" s="84" t="n"/>
      <c r="D36" s="84" t="n"/>
      <c r="E36" t="inlineStr">
        <is>
          <t>Замечаний более пяти или наряд отстранен, оценка старшине ниже «хорошо»</t>
        </is>
      </c>
    </row>
    <row r="37">
      <c r="A37" s="85" t="inlineStr">
        <is>
          <t>12.</t>
        </is>
      </c>
      <c r="B37" s="86" t="inlineStr">
        <is>
          <t>Соблюдение требований безопасности</t>
        </is>
      </c>
      <c r="C37" s="14" t="n"/>
      <c r="D37" s="86">
        <f>IF(C37="Нарушений ТБ, приведших к травматизму л/с нет",10,IF(C37="Есть нарушения ТБ, приведшие к травматизму л/с",0,""))</f>
        <v/>
      </c>
      <c r="E37" t="inlineStr">
        <is>
          <t>Нарушений ТБ, приведших к травматизму л/с нет</t>
        </is>
      </c>
    </row>
    <row r="38" ht="33.75" customHeight="1" thickBot="1">
      <c r="A38" s="84" t="n"/>
      <c r="B38" s="84" t="n"/>
      <c r="C38" s="84" t="n"/>
      <c r="D38" s="84" t="n"/>
      <c r="E38" t="inlineStr">
        <is>
          <t>Есть нарушения ТБ, приведшие к травматизму л/с</t>
        </is>
      </c>
    </row>
    <row r="39">
      <c r="A39" s="85" t="inlineStr">
        <is>
          <t>13.</t>
        </is>
      </c>
      <c r="B39" s="86" t="inlineStr">
        <is>
          <t>Соблюдение элементов распорядка дня</t>
        </is>
      </c>
      <c r="C39" s="14" t="n"/>
      <c r="D39" s="86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сорвано",0,"")))</f>
        <v/>
      </c>
      <c r="E39" t="inlineStr">
        <is>
          <t>Элементы распорядка дня соблюдаются</t>
        </is>
      </c>
    </row>
    <row r="40">
      <c r="A40" s="87" t="n"/>
      <c r="B40" s="87" t="n"/>
      <c r="C40" s="87" t="n"/>
      <c r="D40" s="87" t="n"/>
      <c r="E40" t="inlineStr">
        <is>
          <t>Не более пяти нарушений распорядка дня, срывов мероприятий не допущено</t>
        </is>
      </c>
    </row>
    <row r="41" ht="15.75" customHeight="1" thickBot="1">
      <c r="A41" s="84" t="n"/>
      <c r="B41" s="84" t="n"/>
      <c r="C41" s="84" t="n"/>
      <c r="D41" s="84" t="n"/>
      <c r="E41" t="inlineStr">
        <is>
          <t>Более пяти нарушений элементов распорядка дня или мероприятие сорвано</t>
        </is>
      </c>
    </row>
    <row r="42">
      <c r="A42" s="85" t="inlineStr">
        <is>
          <t>14.</t>
        </is>
      </c>
      <c r="B42" s="14" t="inlineStr">
        <is>
          <t>Состояние материальных средств
(в том числе оружия)</t>
        </is>
      </c>
      <c r="C42" s="14" t="n"/>
      <c r="D42" s="86">
        <f>IF(C42="Материальные средства подразделения в наличии, исправны, обслужены, хранятся правильно",5,IF(C42="Не выполнены предъявляемые критерии",0,""))</f>
        <v/>
      </c>
      <c r="E42" t="inlineStr">
        <is>
          <t>Материальные средства подразделения в наличии, исправны, обслужены, хранятся правильно</t>
        </is>
      </c>
    </row>
    <row r="43" ht="39.75" customHeight="1" thickBot="1">
      <c r="A43" s="84" t="n"/>
      <c r="B43" s="84" t="n"/>
      <c r="C43" s="84" t="n"/>
      <c r="D43" s="84" t="n"/>
      <c r="E43" t="inlineStr">
        <is>
          <t>Не выполнены предъявляемые критерии</t>
        </is>
      </c>
    </row>
    <row r="44">
      <c r="A44" s="85" t="inlineStr">
        <is>
          <t>15.</t>
        </is>
      </c>
      <c r="B44" s="14" t="inlineStr">
        <is>
          <t>Успеваемость по физической подготовке (культуре) старшины 
(по итогам промежуточной аттестации)</t>
        </is>
      </c>
      <c r="C44" s="14" t="n"/>
      <c r="D44" s="86">
        <f>IF(C44="Оценка по физической подготовке (культуре) - 5",2,IF(C44="Оценка по физической подготовке (культуре) - 4",1,""))</f>
        <v/>
      </c>
      <c r="E44" t="inlineStr">
        <is>
          <t>Оценка по физической подготовке (культуре) - 5</t>
        </is>
      </c>
    </row>
    <row r="45" ht="95.25" customHeight="1" thickBot="1">
      <c r="A45" s="84" t="n"/>
      <c r="B45" s="84" t="n"/>
      <c r="C45" s="84" t="n"/>
      <c r="D45" s="84" t="n"/>
      <c r="E45" t="inlineStr">
        <is>
          <t>Оценка по физической подготовке (культуре) - 4</t>
        </is>
      </c>
    </row>
    <row r="46" ht="15.75" customHeight="1">
      <c r="A46" s="88" t="inlineStr">
        <is>
          <t>Итоговая сумма баллов:</t>
        </is>
      </c>
      <c r="B46" s="89" t="n"/>
      <c r="C46" s="89" t="n"/>
      <c r="D46" s="90">
        <f>SUM(D7:D45)</f>
        <v/>
      </c>
      <c r="E46" s="8" t="n"/>
    </row>
    <row r="47" ht="16.5" customHeight="1" thickBot="1">
      <c r="A47" s="91" t="n"/>
      <c r="B47" s="92" t="n"/>
      <c r="C47" s="92" t="n"/>
      <c r="D47" s="84" t="n"/>
      <c r="E47" s="8" t="n"/>
    </row>
    <row r="49" ht="20.25" customHeight="1">
      <c r="A49" s="37" t="inlineStr">
        <is>
          <t xml:space="preserve">Начальник курса </t>
        </is>
      </c>
      <c r="D49" s="5" t="n"/>
      <c r="E49" s="5" t="n"/>
    </row>
    <row r="50" ht="20.25" customHeight="1">
      <c r="A50" s="38" t="inlineStr">
        <is>
          <t>________________</t>
        </is>
      </c>
      <c r="D50" s="6" t="n"/>
      <c r="E50" s="6" t="n"/>
    </row>
    <row r="51" ht="21" customHeight="1">
      <c r="A51" s="9" t="n"/>
      <c r="B51" s="9" t="n"/>
      <c r="C51" s="10" t="inlineStr">
        <is>
          <t>________________</t>
        </is>
      </c>
      <c r="D51" s="5" t="n"/>
      <c r="E51" s="9" t="n"/>
    </row>
  </sheetData>
  <mergeCells count="71">
    <mergeCell ref="A12:A14"/>
    <mergeCell ref="D15:D17"/>
    <mergeCell ref="C12:C14"/>
    <mergeCell ref="C39:C41"/>
    <mergeCell ref="C42:C43"/>
    <mergeCell ref="B34:B36"/>
    <mergeCell ref="D12:D14"/>
    <mergeCell ref="D21:D22"/>
    <mergeCell ref="B15:B17"/>
    <mergeCell ref="A23:A25"/>
    <mergeCell ref="D46:D47"/>
    <mergeCell ref="C10:C11"/>
    <mergeCell ref="A50:C50"/>
    <mergeCell ref="C23:C25"/>
    <mergeCell ref="B42:B43"/>
    <mergeCell ref="D18:D20"/>
    <mergeCell ref="C44:C45"/>
    <mergeCell ref="C26:C27"/>
    <mergeCell ref="D23:D25"/>
    <mergeCell ref="B21:B22"/>
    <mergeCell ref="C7:C9"/>
    <mergeCell ref="D39:D41"/>
    <mergeCell ref="A34:A36"/>
    <mergeCell ref="A26:A27"/>
    <mergeCell ref="A28:A30"/>
    <mergeCell ref="C34:C36"/>
    <mergeCell ref="C21:C22"/>
    <mergeCell ref="C28:C30"/>
    <mergeCell ref="A15:A17"/>
    <mergeCell ref="A37:A38"/>
    <mergeCell ref="B7:B9"/>
    <mergeCell ref="B10:B11"/>
    <mergeCell ref="A31:A33"/>
    <mergeCell ref="C18:C20"/>
    <mergeCell ref="B37:B38"/>
    <mergeCell ref="A21:A22"/>
    <mergeCell ref="A3:E3"/>
    <mergeCell ref="B44:B45"/>
    <mergeCell ref="A1:D1"/>
    <mergeCell ref="B31:B33"/>
    <mergeCell ref="A39:A41"/>
    <mergeCell ref="D31:D33"/>
    <mergeCell ref="C15:C17"/>
    <mergeCell ref="D34:D36"/>
    <mergeCell ref="A42:A43"/>
    <mergeCell ref="B12:B14"/>
    <mergeCell ref="D37:D38"/>
    <mergeCell ref="D42:D43"/>
    <mergeCell ref="A10:A11"/>
    <mergeCell ref="B5:B6"/>
    <mergeCell ref="B18:B20"/>
    <mergeCell ref="A46:C47"/>
    <mergeCell ref="D5:D6"/>
    <mergeCell ref="A44:A45"/>
    <mergeCell ref="D44:D45"/>
    <mergeCell ref="B23:B25"/>
    <mergeCell ref="A4:E4"/>
    <mergeCell ref="D10:D11"/>
    <mergeCell ref="C31:C33"/>
    <mergeCell ref="A49:C49"/>
    <mergeCell ref="A7:A9"/>
    <mergeCell ref="B39:B41"/>
    <mergeCell ref="D26:D27"/>
    <mergeCell ref="C37:C38"/>
    <mergeCell ref="D7:D9"/>
    <mergeCell ref="A2:D2"/>
    <mergeCell ref="B26:B27"/>
    <mergeCell ref="B28:B30"/>
    <mergeCell ref="A18:A20"/>
    <mergeCell ref="D28:D30"/>
    <mergeCell ref="C5:C6"/>
  </mergeCells>
  <dataValidations count="15">
    <dataValidation sqref="C7:C9" showDropDown="0" showInputMessage="1" showErrorMessage="1" allowBlank="1" type="list">
      <formula1>$E$7:$E$9</formula1>
    </dataValidation>
    <dataValidation sqref="C10:C11" showDropDown="0" showInputMessage="1" showErrorMessage="1" allowBlank="1" type="list">
      <formula1>$E$10:$E$11</formula1>
    </dataValidation>
    <dataValidation sqref="C12:C14" showDropDown="0" showInputMessage="1" showErrorMessage="1" allowBlank="1" type="list">
      <formula1>$E$12:$E$14</formula1>
    </dataValidation>
    <dataValidation sqref="C15:C16" showDropDown="0" showInputMessage="1" showErrorMessage="1" allowBlank="1" type="list">
      <formula1>$E$15:$E$16</formula1>
    </dataValidation>
    <dataValidation sqref="C18:C20" showDropDown="0" showInputMessage="1" showErrorMessage="1" allowBlank="1" type="list">
      <formula1>$E$18:$E$20</formula1>
    </dataValidation>
    <dataValidation sqref="C21:C22" showDropDown="0" showInputMessage="1" showErrorMessage="1" allowBlank="1" type="list">
      <formula1>$E$21:$E$22</formula1>
    </dataValidation>
    <dataValidation sqref="C23:C25" showDropDown="0" showInputMessage="1" showErrorMessage="1" allowBlank="1" type="list">
      <formula1>$E$23:$E$25</formula1>
    </dataValidation>
    <dataValidation sqref="C26:C27" showDropDown="0" showInputMessage="1" showErrorMessage="1" allowBlank="1" type="list">
      <formula1>$E$26:$E$27</formula1>
    </dataValidation>
    <dataValidation sqref="C28:C30" showDropDown="0" showInputMessage="1" showErrorMessage="1" allowBlank="1" type="list">
      <formula1>$E$28:$E$30</formula1>
    </dataValidation>
    <dataValidation sqref="C31:C33" showDropDown="0" showInputMessage="1" showErrorMessage="1" allowBlank="1" type="list">
      <formula1>$E$31:$E$33</formula1>
    </dataValidation>
    <dataValidation sqref="C34:C36" showDropDown="0" showInputMessage="1" showErrorMessage="1" allowBlank="1" type="list">
      <formula1>$E$34:$E$36</formula1>
    </dataValidation>
    <dataValidation sqref="C37:C38" showDropDown="0" showInputMessage="1" showErrorMessage="1" allowBlank="1" type="list">
      <formula1>$E$37:$E$38</formula1>
    </dataValidation>
    <dataValidation sqref="C39:C41" showDropDown="0" showInputMessage="1" showErrorMessage="1" allowBlank="1" type="list">
      <formula1>$E$39:$E$41</formula1>
    </dataValidation>
    <dataValidation sqref="C42:C43" showDropDown="0" showInputMessage="1" showErrorMessage="1" allowBlank="1" type="list">
      <formula1>$E$42:$E$43</formula1>
    </dataValidation>
    <dataValidation sqref="C44:C45" showDropDown="0" showInputMessage="1" showErrorMessage="1" allowBlank="1" type="list">
      <formula1>$E$44:$E$45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421 учебной группы младшего сержанта Корнакова Кирилла Максимовича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20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421 учебной группы младшего сержанта Петухова Виталия Евгеньевича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421 учебной группы младшего сержанта Борзова Павла Романовича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422 учебной группы младшего сержанта Перова Вадима Дмитриевича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23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422 учебной группы младшего сержанта Вармахова Рената Мухамедовича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422 учебной группы младшего сержанта Пименова Даниила Геннадьевича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422 учебной группы ефрейтора Федорова Сергея Вячеславовича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423 учебной группы младшего сержанта Сапожникова Максима Ярославовича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27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423 учебной группы младшего сержанта Фокина Дмитрия Алексеевича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423 учебной группы младшего сержанта Кузнецова Андрея Сергеевича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424 учебной группы сержанта Костромыкина Александра Вячеславовича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30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424 учебной группы рядового Нигомедзянова Руслана Фаязовича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424 учебной группы рядового Беляева Евгения Алексеевича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424 учебной группы рядового Стаханова Егора Алексеевича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92D050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31.5703125" customWidth="1" min="4" max="4"/>
    <col hidden="1" width="33.85546875" customWidth="1" min="5" max="5"/>
    <col hidden="1" width="31.5703125" customWidth="1" min="6" max="7"/>
  </cols>
  <sheetData>
    <row r="1" ht="20.25" customHeight="1">
      <c r="A1" s="56" t="inlineStr">
        <is>
          <t>ВЕДОМОСТЬ</t>
        </is>
      </c>
      <c r="E1" s="11" t="n"/>
    </row>
    <row r="2" ht="18.75" customHeight="1">
      <c r="A2" s="57" t="inlineStr">
        <is>
          <t>индивидуальной оценки</t>
        </is>
      </c>
      <c r="E2" s="12" t="n"/>
    </row>
    <row r="3" ht="18.75" customHeight="1">
      <c r="A3" s="58" t="inlineStr">
        <is>
          <t>и.о. старшины 43 курса сержанта Фомина Борислава Алексеевича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6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E7" s="16" t="inlineStr">
        <is>
          <t>Средний балл подразделения ≥ 4,5
Средний балл старшины курса ≥ 4,0</t>
        </is>
      </c>
    </row>
    <row r="8" ht="14.25" customHeight="1">
      <c r="A8" s="87" t="n"/>
      <c r="B8" s="87" t="n"/>
      <c r="C8" s="87" t="n"/>
      <c r="D8" s="87" t="n"/>
      <c r="E8" s="17" t="inlineStr">
        <is>
          <t>Средний балл подразделения ≥ 4,0
Средний балл старшины курса ≥ 4,0</t>
        </is>
      </c>
    </row>
    <row r="9" ht="18" customHeight="1" thickBot="1">
      <c r="A9" s="84" t="n"/>
      <c r="B9" s="84" t="n"/>
      <c r="C9" s="84" t="n"/>
      <c r="D9" s="84" t="n"/>
      <c r="E9" s="18" t="inlineStr">
        <is>
          <t>Средний балл подразделения &lt; 4,0
Средний балл старшины курса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14" t="n"/>
      <c r="D10" s="86">
        <f>IF(C10="В подразделении и у старшины курса отсутствуют академические задолженности",10,IF(C10="Имеются задолженности в подразделении или у старшины курса",0,""))</f>
        <v/>
      </c>
      <c r="E10" t="inlineStr">
        <is>
          <t>В подразделении и у старшины курса отсутствуют академические задолженности</t>
        </is>
      </c>
    </row>
    <row r="11" ht="26.25" customHeight="1" thickBot="1">
      <c r="A11" s="84" t="n"/>
      <c r="B11" s="84" t="n"/>
      <c r="C11" s="84" t="n"/>
      <c r="D11" s="84" t="n"/>
      <c r="E11" t="inlineStr">
        <is>
          <t>Имеются задолженности в подразделении или у старшины курса</t>
        </is>
      </c>
    </row>
    <row r="12">
      <c r="A12" s="85" t="inlineStr">
        <is>
          <t>3.</t>
        </is>
      </c>
      <c r="B12" s="86" t="inlineStr">
        <is>
          <t>Наличие текущих задолженностей</t>
        </is>
      </c>
      <c r="C12" s="14" t="n"/>
      <c r="D12" s="86">
        <f>IF(C12="Текущие задолженности в подразделении и у старшины курса отсутствуют",5,IF(C12="Имеются менее 10% задолженностей в подразделении или у старшины курса",3,IF(C12="Имеются более 10% задолженностей в подразделении или у старшины курса",0,"")))</f>
        <v/>
      </c>
      <c r="E12" t="inlineStr">
        <is>
          <t>Текущие задолженности в подразделении и у старшины курса отсутствуют</t>
        </is>
      </c>
    </row>
    <row r="13">
      <c r="A13" s="87" t="n"/>
      <c r="B13" s="87" t="n"/>
      <c r="C13" s="87" t="n"/>
      <c r="D13" s="87" t="n"/>
      <c r="E13" t="inlineStr">
        <is>
          <t>Имеются менее 10% задолженностей в подразделении или у старшины курса</t>
        </is>
      </c>
    </row>
    <row r="14" ht="30.75" customHeight="1" thickBot="1">
      <c r="A14" s="84" t="n"/>
      <c r="B14" s="84" t="n"/>
      <c r="C14" s="84" t="n"/>
      <c r="D14" s="84" t="n"/>
      <c r="E14" t="inlineStr">
        <is>
          <t>Имеются более 10% задолженностей в подразделении или у старшины курса</t>
        </is>
      </c>
    </row>
    <row r="15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n"/>
      <c r="D15" s="86">
        <f>IF(C15="Замечаний нет",5,IF(C15="Имеются замечания",0,""))</f>
        <v/>
      </c>
      <c r="E15" t="inlineStr">
        <is>
          <t>Замечаний нет</t>
        </is>
      </c>
    </row>
    <row r="16" ht="15.75" customHeight="1">
      <c r="A16" s="87" t="n"/>
      <c r="B16" s="87" t="n"/>
      <c r="C16" s="87" t="n"/>
      <c r="D16" s="87" t="n"/>
      <c r="E16" t="inlineStr">
        <is>
          <t>Имеются замечания</t>
        </is>
      </c>
    </row>
    <row r="17" ht="84" customHeight="1" thickBot="1">
      <c r="A17" s="84" t="n"/>
      <c r="B17" s="84" t="n"/>
      <c r="C17" s="84" t="n"/>
      <c r="D17" s="84" t="n"/>
    </row>
    <row r="18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n"/>
      <c r="D18" s="86">
        <f>IF(C18="ПРО, ПРЕ, ГДП в подразделении и у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сокрытие",0,"")))</f>
        <v/>
      </c>
      <c r="E18" t="inlineStr">
        <is>
          <t>ПРО, ПРЕ, ГДП в подразделении и у старшины курса отсутствуют</t>
        </is>
      </c>
    </row>
    <row r="19">
      <c r="A19" s="87" t="n"/>
      <c r="B19" s="87" t="n"/>
      <c r="C19" s="87" t="n"/>
      <c r="D19" s="87" t="n"/>
      <c r="E19" t="inlineStr">
        <is>
          <t>ПРО, ПРЕ отсутствуют, имеются не снятые взыскания за ГДП в подразделении, у старшины курса отсутствуют</t>
        </is>
      </c>
    </row>
    <row r="20" ht="38.25" customHeight="1" thickBot="1">
      <c r="A20" s="84" t="n"/>
      <c r="B20" s="84" t="n"/>
      <c r="C20" s="84" t="n"/>
      <c r="D20" s="84" t="n"/>
      <c r="E20" t="inlineStr">
        <is>
          <t>Совершено ПРО, ПРЕ, ГДП в подразделении или старшины курса или допущено сокрытие</t>
        </is>
      </c>
    </row>
    <row r="2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n"/>
      <c r="D21" s="86">
        <f>IF(C21="Дисциплинарная практика к подчиненному личному составу ведется",5,IF(C21="Дисциплинарная практика к подчиненному личному составу не реализуется или старшина курса имеет дисциплинарные взыскания",0,""))</f>
        <v/>
      </c>
      <c r="E21" t="inlineStr">
        <is>
          <t>Дисциплинарная практика к подчиненному личному составу ведется</t>
        </is>
      </c>
    </row>
    <row r="22" ht="33.75" customHeight="1" thickBot="1">
      <c r="A22" s="84" t="n"/>
      <c r="B22" s="84" t="n"/>
      <c r="C22" s="84" t="n"/>
      <c r="D22" s="84" t="n"/>
      <c r="E22" t="inlineStr">
        <is>
          <t>Дисциплинарная практика к подчиненному личному составу не реализуется или старшина курса имеет дисциплинарные взыскания</t>
        </is>
      </c>
    </row>
    <row r="23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n"/>
      <c r="D23" s="86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актуальна",0,"")))</f>
        <v/>
      </c>
      <c r="E23" t="inlineStr">
        <is>
          <t>Обстановкой владеет, доклады представляет, книжка сержантов актуальна</t>
        </is>
      </c>
    </row>
    <row r="24">
      <c r="A24" s="87" t="n"/>
      <c r="B24" s="87" t="n"/>
      <c r="C24" s="87" t="n"/>
      <c r="D24" s="87" t="n"/>
      <c r="E24" t="inlineStr">
        <is>
          <t>Обстановкой владеет, доклады представляет, книжка сержантов не актуальна</t>
        </is>
      </c>
    </row>
    <row r="25" ht="89.25" customHeight="1" thickBot="1">
      <c r="A25" s="84" t="n"/>
      <c r="B25" s="84" t="n"/>
      <c r="C25" s="84" t="n"/>
      <c r="D25" s="84" t="n"/>
      <c r="E25" t="inlineStr">
        <is>
          <t>Обстановкой не владеет, доклады не представляет, книжка сержантов не актуальна</t>
        </is>
      </c>
    </row>
    <row r="26">
      <c r="A26" s="85" t="inlineStr">
        <is>
          <t>8.</t>
        </is>
      </c>
      <c r="B26" s="86" t="inlineStr">
        <is>
          <t>Распределение увольнений</t>
        </is>
      </c>
      <c r="C26" s="86" t="n"/>
      <c r="D26" s="86">
        <f>IF(C26="Увольнения между учебными группами распределены равномерно",2,IF(C26="Увольнения между учебными группами распределены не равномерно",0,""))</f>
        <v/>
      </c>
      <c r="E26" t="inlineStr">
        <is>
          <t>Увольнения между учебными группами распределены равномерно</t>
        </is>
      </c>
    </row>
    <row r="27" ht="15.75" customHeight="1" thickBot="1">
      <c r="A27" s="84" t="n"/>
      <c r="B27" s="84" t="n"/>
      <c r="C27" s="84" t="n"/>
      <c r="D27" s="84" t="n"/>
      <c r="E27" t="inlineStr">
        <is>
          <t>Увольнения между учебными группами распределены не равномерно</t>
        </is>
      </c>
    </row>
    <row r="28">
      <c r="A28" s="85" t="inlineStr">
        <is>
          <t>9.</t>
        </is>
      </c>
      <c r="B28" s="86" t="inlineStr">
        <is>
          <t>Распределение нарядов, уборщиков по территории и расположению</t>
        </is>
      </c>
      <c r="C28" s="86" t="n"/>
      <c r="D28" s="86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равномерно",0,"")))</f>
        <v/>
      </c>
      <c r="E28" t="inlineStr">
        <is>
          <t>Наряды и уборщики распределены равномерно</t>
        </is>
      </c>
    </row>
    <row r="29">
      <c r="A29" s="87" t="n"/>
      <c r="B29" s="87" t="n"/>
      <c r="C29" s="87" t="n"/>
      <c r="D29" s="87" t="n"/>
      <c r="E29" t="inlineStr">
        <is>
          <t>Наряды распределены равномерно, уборщики не равномерно</t>
        </is>
      </c>
    </row>
    <row r="30" ht="41.25" customHeight="1" thickBot="1">
      <c r="A30" s="84" t="n"/>
      <c r="B30" s="84" t="n"/>
      <c r="C30" s="84" t="n"/>
      <c r="D30" s="84" t="n"/>
      <c r="E30" t="inlineStr">
        <is>
          <t>Наряды и уборщики распределены не равномерно</t>
        </is>
      </c>
    </row>
    <row r="31" ht="47.25" customHeight="1">
      <c r="A31" s="85" t="inlineStr">
        <is>
          <t>10.</t>
        </is>
      </c>
      <c r="B31" s="86" t="inlineStr">
        <is>
          <t>Организация подготовки суточного наряда назначенного от подразделения</t>
        </is>
      </c>
      <c r="C31" s="14" t="n"/>
      <c r="D31" s="86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допущен",0,"")))</f>
        <v/>
      </c>
      <c r="E31" t="inlineStr">
        <is>
          <t>Подготовка проведена, на разводе замечаний нет</t>
        </is>
      </c>
    </row>
    <row r="32">
      <c r="A32" s="87" t="n"/>
      <c r="B32" s="87" t="n"/>
      <c r="C32" s="87" t="n"/>
      <c r="D32" s="87" t="n"/>
      <c r="E32" t="inlineStr">
        <is>
          <t>Подготовка проведена, на разводе более трех замечаний</t>
        </is>
      </c>
    </row>
    <row r="33" ht="7.5" customHeight="1" thickBot="1">
      <c r="A33" s="84" t="n"/>
      <c r="B33" s="84" t="n"/>
      <c r="C33" s="84" t="n"/>
      <c r="D33" s="84" t="n"/>
      <c r="E33" t="inlineStr">
        <is>
          <t>Подготовка не проведена, на разводе более трех замечаний или личный состав не допущен</t>
        </is>
      </c>
    </row>
    <row r="34">
      <c r="A34" s="85" t="inlineStr">
        <is>
          <t>11.</t>
        </is>
      </c>
      <c r="B34" s="86" t="inlineStr">
        <is>
          <t>Несение службы наряда, назначенного от подразделения</t>
        </is>
      </c>
      <c r="C34" s="14" t="n"/>
      <c r="D34" s="86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«хорошо»",0,"")))</f>
        <v/>
      </c>
      <c r="E34" t="inlineStr">
        <is>
          <t>Замечаний нет, оценка старшине не ниже «хорошо»</t>
        </is>
      </c>
    </row>
    <row r="35">
      <c r="A35" s="87" t="n"/>
      <c r="B35" s="87" t="n"/>
      <c r="C35" s="87" t="n"/>
      <c r="D35" s="87" t="n"/>
      <c r="E35" t="inlineStr">
        <is>
          <t>Замечаний не более пяти, оценка старшине не ниже «хорошо»</t>
        </is>
      </c>
    </row>
    <row r="36" ht="39" customHeight="1" thickBot="1">
      <c r="A36" s="84" t="n"/>
      <c r="B36" s="84" t="n"/>
      <c r="C36" s="84" t="n"/>
      <c r="D36" s="84" t="n"/>
      <c r="E36" t="inlineStr">
        <is>
          <t>Замечаний более пяти или наряд отстранен, оценка старшине ниже «хорошо»</t>
        </is>
      </c>
    </row>
    <row r="37">
      <c r="A37" s="85" t="inlineStr">
        <is>
          <t>12.</t>
        </is>
      </c>
      <c r="B37" s="86" t="inlineStr">
        <is>
          <t>Соблюдение требований безопасности</t>
        </is>
      </c>
      <c r="C37" s="14" t="n"/>
      <c r="D37" s="86">
        <f>IF(C37="Нарушений ТБ, приведших к травматизму л/с нет",10,IF(C37="Есть нарушения ТБ, приведшие к травматизму л/с",0,""))</f>
        <v/>
      </c>
      <c r="E37" t="inlineStr">
        <is>
          <t>Нарушений ТБ, приведших к травматизму л/с нет</t>
        </is>
      </c>
    </row>
    <row r="38" ht="33.75" customHeight="1" thickBot="1">
      <c r="A38" s="84" t="n"/>
      <c r="B38" s="84" t="n"/>
      <c r="C38" s="84" t="n"/>
      <c r="D38" s="84" t="n"/>
      <c r="E38" t="inlineStr">
        <is>
          <t>Есть нарушения ТБ, приведшие к травматизму л/с</t>
        </is>
      </c>
    </row>
    <row r="39">
      <c r="A39" s="85" t="inlineStr">
        <is>
          <t>13.</t>
        </is>
      </c>
      <c r="B39" s="86" t="inlineStr">
        <is>
          <t>Соблюдение элементов распорядка дня</t>
        </is>
      </c>
      <c r="C39" s="14" t="n"/>
      <c r="D39" s="86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сорвано",0,"")))</f>
        <v/>
      </c>
      <c r="E39" t="inlineStr">
        <is>
          <t>Элементы распорядка дня соблюдаются</t>
        </is>
      </c>
    </row>
    <row r="40">
      <c r="A40" s="87" t="n"/>
      <c r="B40" s="87" t="n"/>
      <c r="C40" s="87" t="n"/>
      <c r="D40" s="87" t="n"/>
      <c r="E40" t="inlineStr">
        <is>
          <t>Не более пяти нарушений распорядка дня, срывов мероприятий не допущено</t>
        </is>
      </c>
    </row>
    <row r="41" ht="15.75" customHeight="1" thickBot="1">
      <c r="A41" s="84" t="n"/>
      <c r="B41" s="84" t="n"/>
      <c r="C41" s="84" t="n"/>
      <c r="D41" s="84" t="n"/>
      <c r="E41" t="inlineStr">
        <is>
          <t>Более пяти нарушений элементов распорядка дня или мероприятие сорвано</t>
        </is>
      </c>
    </row>
    <row r="42">
      <c r="A42" s="85" t="inlineStr">
        <is>
          <t>14.</t>
        </is>
      </c>
      <c r="B42" s="14" t="inlineStr">
        <is>
          <t>Состояние материальных средств
(в том числе оружия)</t>
        </is>
      </c>
      <c r="C42" s="14" t="n"/>
      <c r="D42" s="86">
        <f>IF(C42="Материальные средства подразделения в наличии, исправны, обслужены, хранятся правильно",5,IF(C42="Не выполнены предъявляемые критерии",0,""))</f>
        <v/>
      </c>
      <c r="E42" t="inlineStr">
        <is>
          <t>Материальные средства подразделения в наличии, исправны, обслужены, хранятся правильно</t>
        </is>
      </c>
    </row>
    <row r="43" ht="39.75" customHeight="1" thickBot="1">
      <c r="A43" s="84" t="n"/>
      <c r="B43" s="84" t="n"/>
      <c r="C43" s="84" t="n"/>
      <c r="D43" s="84" t="n"/>
      <c r="E43" t="inlineStr">
        <is>
          <t>Не выполнены предъявляемые критерии</t>
        </is>
      </c>
    </row>
    <row r="44">
      <c r="A44" s="85" t="inlineStr">
        <is>
          <t>15.</t>
        </is>
      </c>
      <c r="B44" s="14" t="inlineStr">
        <is>
          <t>Успеваемость по физической подготовке (культуре) старшины 
(по итогам промежуточной аттестации)</t>
        </is>
      </c>
      <c r="C44" s="14" t="n"/>
      <c r="D44" s="86">
        <f>IF(C44="Оценка по физической подготовке (культуре) - 5",2,IF(C44="Оценка по физической подготовке (культуре) - 4",1,""))</f>
        <v/>
      </c>
      <c r="E44" t="inlineStr">
        <is>
          <t>Оценка по физической подготовке (культуре) - 5</t>
        </is>
      </c>
    </row>
    <row r="45" ht="95.25" customHeight="1" thickBot="1">
      <c r="A45" s="84" t="n"/>
      <c r="B45" s="84" t="n"/>
      <c r="C45" s="84" t="n"/>
      <c r="D45" s="84" t="n"/>
      <c r="E45" t="inlineStr">
        <is>
          <t>Оценка по физической подготовке (культуре) - 4</t>
        </is>
      </c>
    </row>
    <row r="46" ht="15.75" customHeight="1">
      <c r="A46" s="88" t="inlineStr">
        <is>
          <t>Итоговая сумма баллов:</t>
        </is>
      </c>
      <c r="B46" s="89" t="n"/>
      <c r="C46" s="89" t="n"/>
      <c r="D46" s="90">
        <f>SUM(D7:D45)</f>
        <v/>
      </c>
      <c r="E46" s="8" t="n"/>
    </row>
    <row r="47" ht="16.5" customHeight="1" thickBot="1">
      <c r="A47" s="91" t="n"/>
      <c r="B47" s="92" t="n"/>
      <c r="C47" s="92" t="n"/>
      <c r="D47" s="84" t="n"/>
      <c r="E47" s="8" t="n"/>
    </row>
    <row r="49" ht="20.25" customHeight="1">
      <c r="A49" s="37" t="inlineStr">
        <is>
          <t xml:space="preserve">Начальник курса </t>
        </is>
      </c>
      <c r="D49" s="5" t="n"/>
      <c r="E49" s="5" t="n"/>
    </row>
    <row r="50" ht="20.25" customHeight="1">
      <c r="A50" s="38" t="inlineStr">
        <is>
          <t>________________</t>
        </is>
      </c>
      <c r="D50" s="6" t="n"/>
      <c r="E50" s="6" t="n"/>
    </row>
    <row r="51" ht="21" customHeight="1">
      <c r="A51" s="9" t="n"/>
      <c r="B51" s="9" t="n"/>
      <c r="C51" s="10" t="inlineStr">
        <is>
          <t>________________</t>
        </is>
      </c>
      <c r="D51" s="5" t="n"/>
      <c r="E51" s="9" t="n"/>
    </row>
  </sheetData>
  <mergeCells count="71">
    <mergeCell ref="A12:A14"/>
    <mergeCell ref="D15:D17"/>
    <mergeCell ref="C12:C14"/>
    <mergeCell ref="C39:C41"/>
    <mergeCell ref="C42:C43"/>
    <mergeCell ref="B34:B36"/>
    <mergeCell ref="D12:D14"/>
    <mergeCell ref="D21:D22"/>
    <mergeCell ref="B15:B17"/>
    <mergeCell ref="A23:A25"/>
    <mergeCell ref="D46:D47"/>
    <mergeCell ref="C10:C11"/>
    <mergeCell ref="A50:C50"/>
    <mergeCell ref="C23:C25"/>
    <mergeCell ref="B42:B43"/>
    <mergeCell ref="D18:D20"/>
    <mergeCell ref="C44:C45"/>
    <mergeCell ref="C26:C27"/>
    <mergeCell ref="D23:D25"/>
    <mergeCell ref="B21:B22"/>
    <mergeCell ref="C7:C9"/>
    <mergeCell ref="D39:D41"/>
    <mergeCell ref="A34:A36"/>
    <mergeCell ref="A26:A27"/>
    <mergeCell ref="A28:A30"/>
    <mergeCell ref="C34:C36"/>
    <mergeCell ref="C21:C22"/>
    <mergeCell ref="C28:C30"/>
    <mergeCell ref="A15:A17"/>
    <mergeCell ref="A37:A38"/>
    <mergeCell ref="B7:B9"/>
    <mergeCell ref="B10:B11"/>
    <mergeCell ref="A31:A33"/>
    <mergeCell ref="C18:C20"/>
    <mergeCell ref="B37:B38"/>
    <mergeCell ref="A21:A22"/>
    <mergeCell ref="A3:E3"/>
    <mergeCell ref="B44:B45"/>
    <mergeCell ref="A1:D1"/>
    <mergeCell ref="B31:B33"/>
    <mergeCell ref="A39:A41"/>
    <mergeCell ref="D31:D33"/>
    <mergeCell ref="C15:C17"/>
    <mergeCell ref="D34:D36"/>
    <mergeCell ref="A42:A43"/>
    <mergeCell ref="B12:B14"/>
    <mergeCell ref="D37:D38"/>
    <mergeCell ref="D42:D43"/>
    <mergeCell ref="A10:A11"/>
    <mergeCell ref="B5:B6"/>
    <mergeCell ref="B18:B20"/>
    <mergeCell ref="A46:C47"/>
    <mergeCell ref="D5:D6"/>
    <mergeCell ref="A44:A45"/>
    <mergeCell ref="D44:D45"/>
    <mergeCell ref="B23:B25"/>
    <mergeCell ref="A4:E4"/>
    <mergeCell ref="D10:D11"/>
    <mergeCell ref="C31:C33"/>
    <mergeCell ref="A49:C49"/>
    <mergeCell ref="A7:A9"/>
    <mergeCell ref="B39:B41"/>
    <mergeCell ref="D26:D27"/>
    <mergeCell ref="C37:C38"/>
    <mergeCell ref="D7:D9"/>
    <mergeCell ref="A2:D2"/>
    <mergeCell ref="B26:B27"/>
    <mergeCell ref="B28:B30"/>
    <mergeCell ref="A18:A20"/>
    <mergeCell ref="D28:D30"/>
    <mergeCell ref="C5:C6"/>
  </mergeCells>
  <dataValidations count="15">
    <dataValidation sqref="C7:C9" showDropDown="0" showInputMessage="1" showErrorMessage="1" allowBlank="1" type="list">
      <formula1>$E$7:$E$9</formula1>
    </dataValidation>
    <dataValidation sqref="C10:C11" showDropDown="0" showInputMessage="1" showErrorMessage="1" allowBlank="1" type="list">
      <formula1>$E$10:$E$11</formula1>
    </dataValidation>
    <dataValidation sqref="C12:C14" showDropDown="0" showInputMessage="1" showErrorMessage="1" allowBlank="1" type="list">
      <formula1>$E$12:$E$14</formula1>
    </dataValidation>
    <dataValidation sqref="C15:C16" showDropDown="0" showInputMessage="1" showErrorMessage="1" allowBlank="1" type="list">
      <formula1>$E$15:$E$16</formula1>
    </dataValidation>
    <dataValidation sqref="C18:C20" showDropDown="0" showInputMessage="1" showErrorMessage="1" allowBlank="1" type="list">
      <formula1>$E$18:$E$20</formula1>
    </dataValidation>
    <dataValidation sqref="C21:C22" showDropDown="0" showInputMessage="1" showErrorMessage="1" allowBlank="1" type="list">
      <formula1>$E$21:$E$22</formula1>
    </dataValidation>
    <dataValidation sqref="C23:C25" showDropDown="0" showInputMessage="1" showErrorMessage="1" allowBlank="1" type="list">
      <formula1>$E$23:$E$25</formula1>
    </dataValidation>
    <dataValidation sqref="C26:C27" showDropDown="0" showInputMessage="1" showErrorMessage="1" allowBlank="1" type="list">
      <formula1>$E$26:$E$27</formula1>
    </dataValidation>
    <dataValidation sqref="C28:C30" showDropDown="0" showInputMessage="1" showErrorMessage="1" allowBlank="1" type="list">
      <formula1>$E$28:$E$30</formula1>
    </dataValidation>
    <dataValidation sqref="C31:C33" showDropDown="0" showInputMessage="1" showErrorMessage="1" allowBlank="1" type="list">
      <formula1>$E$31:$E$33</formula1>
    </dataValidation>
    <dataValidation sqref="C34:C36" showDropDown="0" showInputMessage="1" showErrorMessage="1" allowBlank="1" type="list">
      <formula1>$E$34:$E$36</formula1>
    </dataValidation>
    <dataValidation sqref="C37:C38" showDropDown="0" showInputMessage="1" showErrorMessage="1" allowBlank="1" type="list">
      <formula1>$E$37:$E$38</formula1>
    </dataValidation>
    <dataValidation sqref="C39:C41" showDropDown="0" showInputMessage="1" showErrorMessage="1" allowBlank="1" type="list">
      <formula1>$E$39:$E$41</formula1>
    </dataValidation>
    <dataValidation sqref="C42:C43" showDropDown="0" showInputMessage="1" showErrorMessage="1" allowBlank="1" type="list">
      <formula1>$E$42:$E$43</formula1>
    </dataValidation>
    <dataValidation sqref="C44:C45" showDropDown="0" showInputMessage="1" showErrorMessage="1" allowBlank="1" type="list">
      <formula1>$E$44:$E$45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431 учебной группы сержанта Фомина Борислава Алексеевича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35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431 учебной группы сержанта Пасичника Ярослава Игоревича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431 учебной группы младшего сержанта Малика Данила Сергеевича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431 учебной группы младшего сержанта Драгунова Игоря Владимировича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432 учебной группы младшего сержанта Носкова Анатолия Олеговича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39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432 учебной группы младшего сержанта Шокина Ильи Евгеньевича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432 учебной группы младшего сержанта Падукова Игната Андреевича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433 учебной группы младшего сержанта Васильева Данилы Сергеевича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42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433 учебной группы сержанта Бойкова Артема Валерьевича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433 учебной группы сержанта Шартдинова Эрика Расилевича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433 учебной группы сержанта Шумакова Ильи Вячеславовича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434 учебной группы сержанта Руськина Артема Игоревича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46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434 учебной группы младшего сержанта Нефедовского Арсения Денисовича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434 учебной группы младшего сержанта Кривенко Ильи Даниловича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434 учебной группы младшего сержанта Барыкина Тимофея Игнатьевича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tabColor rgb="FF92D050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31.5703125" customWidth="1" min="4" max="4"/>
    <col hidden="1" width="33.85546875" customWidth="1" min="5" max="5"/>
    <col hidden="1" width="31.5703125" customWidth="1" min="6" max="7"/>
  </cols>
  <sheetData>
    <row r="1" ht="20.25" customHeight="1">
      <c r="A1" s="56" t="inlineStr">
        <is>
          <t>ВЕДОМОСТЬ</t>
        </is>
      </c>
      <c r="E1" s="11" t="n"/>
    </row>
    <row r="2" ht="18.75" customHeight="1">
      <c r="A2" s="57" t="inlineStr">
        <is>
          <t>индивидуальной оценки</t>
        </is>
      </c>
      <c r="E2" s="12" t="n"/>
    </row>
    <row r="3" ht="18.75" customHeight="1">
      <c r="A3" s="58" t="inlineStr">
        <is>
          <t>и.о. старшины 44 курса сержанта Новикова Максима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6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E7" s="16" t="inlineStr">
        <is>
          <t>Средний балл подразделения ≥ 4,5
Средний балл старшины курса ≥ 4,0</t>
        </is>
      </c>
    </row>
    <row r="8" ht="14.25" customHeight="1">
      <c r="A8" s="87" t="n"/>
      <c r="B8" s="87" t="n"/>
      <c r="C8" s="87" t="n"/>
      <c r="D8" s="87" t="n"/>
      <c r="E8" s="17" t="inlineStr">
        <is>
          <t>Средний балл подразделения ≥ 4,0
Средний балл старшины курса ≥ 4,0</t>
        </is>
      </c>
    </row>
    <row r="9" ht="18" customHeight="1" thickBot="1">
      <c r="A9" s="84" t="n"/>
      <c r="B9" s="84" t="n"/>
      <c r="C9" s="84" t="n"/>
      <c r="D9" s="84" t="n"/>
      <c r="E9" s="18" t="inlineStr">
        <is>
          <t>Средний балл подразделения &lt; 4,0
Средний балл старшины курса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14" t="n"/>
      <c r="D10" s="86">
        <f>IF(C10="В подразделении и у старшины курса отсутствуют академические задолженности",10,IF(C10="Имеются задолженности в подразделении или у старшины курса",0,""))</f>
        <v/>
      </c>
      <c r="E10" t="inlineStr">
        <is>
          <t>В подразделении и у старшины курса отсутствуют академические задолженности</t>
        </is>
      </c>
    </row>
    <row r="11" ht="26.25" customHeight="1" thickBot="1">
      <c r="A11" s="84" t="n"/>
      <c r="B11" s="84" t="n"/>
      <c r="C11" s="84" t="n"/>
      <c r="D11" s="84" t="n"/>
      <c r="E11" t="inlineStr">
        <is>
          <t>Имеются задолженности в подразделении или у старшины курса</t>
        </is>
      </c>
    </row>
    <row r="12">
      <c r="A12" s="85" t="inlineStr">
        <is>
          <t>3.</t>
        </is>
      </c>
      <c r="B12" s="86" t="inlineStr">
        <is>
          <t>Наличие текущих задолженностей</t>
        </is>
      </c>
      <c r="C12" s="14" t="n"/>
      <c r="D12" s="86">
        <f>IF(C12="Текущие задолженности в подразделении и у старшины курса отсутствуют",5,IF(C12="Имеются менее 10% задолженностей в подразделении или у старшины курса",3,IF(C12="Имеются более 10% задолженностей в подразделении или у старшины курса",0,"")))</f>
        <v/>
      </c>
      <c r="E12" t="inlineStr">
        <is>
          <t>Текущие задолженности в подразделении и у старшины курса отсутствуют</t>
        </is>
      </c>
    </row>
    <row r="13">
      <c r="A13" s="87" t="n"/>
      <c r="B13" s="87" t="n"/>
      <c r="C13" s="87" t="n"/>
      <c r="D13" s="87" t="n"/>
      <c r="E13" t="inlineStr">
        <is>
          <t>Имеются менее 10% задолженностей в подразделении или у старшины курса</t>
        </is>
      </c>
    </row>
    <row r="14" ht="30.75" customHeight="1" thickBot="1">
      <c r="A14" s="84" t="n"/>
      <c r="B14" s="84" t="n"/>
      <c r="C14" s="84" t="n"/>
      <c r="D14" s="84" t="n"/>
      <c r="E14" t="inlineStr">
        <is>
          <t>Имеются более 10% задолженностей в подразделении или у старшины курса</t>
        </is>
      </c>
    </row>
    <row r="15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n"/>
      <c r="D15" s="86">
        <f>IF(C15="Замечаний нет",5,IF(C15="Имеются замечания",0,""))</f>
        <v/>
      </c>
      <c r="E15" t="inlineStr">
        <is>
          <t>Замечаний нет</t>
        </is>
      </c>
    </row>
    <row r="16" ht="15.75" customHeight="1">
      <c r="A16" s="87" t="n"/>
      <c r="B16" s="87" t="n"/>
      <c r="C16" s="87" t="n"/>
      <c r="D16" s="87" t="n"/>
      <c r="E16" t="inlineStr">
        <is>
          <t>Имеются замечания</t>
        </is>
      </c>
    </row>
    <row r="17" ht="84" customHeight="1" thickBot="1">
      <c r="A17" s="84" t="n"/>
      <c r="B17" s="84" t="n"/>
      <c r="C17" s="84" t="n"/>
      <c r="D17" s="84" t="n"/>
    </row>
    <row r="18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n"/>
      <c r="D18" s="86">
        <f>IF(C18="ПРО, ПРЕ, ГДП в подразделении и у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сокрытие",0,"")))</f>
        <v/>
      </c>
      <c r="E18" t="inlineStr">
        <is>
          <t>ПРО, ПРЕ, ГДП в подразделении и у старшины курса отсутствуют</t>
        </is>
      </c>
    </row>
    <row r="19">
      <c r="A19" s="87" t="n"/>
      <c r="B19" s="87" t="n"/>
      <c r="C19" s="87" t="n"/>
      <c r="D19" s="87" t="n"/>
      <c r="E19" t="inlineStr">
        <is>
          <t>ПРО, ПРЕ отсутствуют, имеются не снятые взыскания за ГДП в подразделении, у старшины курса отсутствуют</t>
        </is>
      </c>
    </row>
    <row r="20" ht="38.25" customHeight="1" thickBot="1">
      <c r="A20" s="84" t="n"/>
      <c r="B20" s="84" t="n"/>
      <c r="C20" s="84" t="n"/>
      <c r="D20" s="84" t="n"/>
      <c r="E20" t="inlineStr">
        <is>
          <t>Совершено ПРО, ПРЕ, ГДП в подразделении или старшины курса или допущено сокрытие</t>
        </is>
      </c>
    </row>
    <row r="2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n"/>
      <c r="D21" s="86">
        <f>IF(C21="Дисциплинарная практика к подчиненному личному составу ведется",5,IF(C21="Дисциплинарная практика к подчиненному личному составу не реализуется или старшина курса имеет дисциплинарные взыскания",0,""))</f>
        <v/>
      </c>
      <c r="E21" t="inlineStr">
        <is>
          <t>Дисциплинарная практика к подчиненному личному составу ведется</t>
        </is>
      </c>
    </row>
    <row r="22" ht="33.75" customHeight="1" thickBot="1">
      <c r="A22" s="84" t="n"/>
      <c r="B22" s="84" t="n"/>
      <c r="C22" s="84" t="n"/>
      <c r="D22" s="84" t="n"/>
      <c r="E22" t="inlineStr">
        <is>
          <t>Дисциплинарная практика к подчиненному личному составу не реализуется или старшина курса имеет дисциплинарные взыскания</t>
        </is>
      </c>
    </row>
    <row r="23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n"/>
      <c r="D23" s="86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актуальна",0,"")))</f>
        <v/>
      </c>
      <c r="E23" t="inlineStr">
        <is>
          <t>Обстановкой владеет, доклады представляет, книжка сержантов актуальна</t>
        </is>
      </c>
    </row>
    <row r="24">
      <c r="A24" s="87" t="n"/>
      <c r="B24" s="87" t="n"/>
      <c r="C24" s="87" t="n"/>
      <c r="D24" s="87" t="n"/>
      <c r="E24" t="inlineStr">
        <is>
          <t>Обстановкой владеет, доклады представляет, книжка сержантов не актуальна</t>
        </is>
      </c>
    </row>
    <row r="25" ht="89.25" customHeight="1" thickBot="1">
      <c r="A25" s="84" t="n"/>
      <c r="B25" s="84" t="n"/>
      <c r="C25" s="84" t="n"/>
      <c r="D25" s="84" t="n"/>
      <c r="E25" t="inlineStr">
        <is>
          <t>Обстановкой не владеет, доклады не представляет, книжка сержантов не актуальна</t>
        </is>
      </c>
    </row>
    <row r="26">
      <c r="A26" s="85" t="inlineStr">
        <is>
          <t>8.</t>
        </is>
      </c>
      <c r="B26" s="86" t="inlineStr">
        <is>
          <t>Распределение увольнений</t>
        </is>
      </c>
      <c r="C26" s="86" t="n"/>
      <c r="D26" s="86">
        <f>IF(C26="Увольнения между учебными группами распределены равномерно",2,IF(C26="Увольнения между учебными группами распределены не равномерно",0,""))</f>
        <v/>
      </c>
      <c r="E26" t="inlineStr">
        <is>
          <t>Увольнения между учебными группами распределены равномерно</t>
        </is>
      </c>
    </row>
    <row r="27" ht="15.75" customHeight="1" thickBot="1">
      <c r="A27" s="84" t="n"/>
      <c r="B27" s="84" t="n"/>
      <c r="C27" s="84" t="n"/>
      <c r="D27" s="84" t="n"/>
      <c r="E27" t="inlineStr">
        <is>
          <t>Увольнения между учебными группами распределены не равномерно</t>
        </is>
      </c>
    </row>
    <row r="28">
      <c r="A28" s="85" t="inlineStr">
        <is>
          <t>9.</t>
        </is>
      </c>
      <c r="B28" s="86" t="inlineStr">
        <is>
          <t>Распределение нарядов, уборщиков по территории и расположению</t>
        </is>
      </c>
      <c r="C28" s="86" t="n"/>
      <c r="D28" s="86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равномерно",0,"")))</f>
        <v/>
      </c>
      <c r="E28" t="inlineStr">
        <is>
          <t>Наряды и уборщики распределены равномерно</t>
        </is>
      </c>
    </row>
    <row r="29">
      <c r="A29" s="87" t="n"/>
      <c r="B29" s="87" t="n"/>
      <c r="C29" s="87" t="n"/>
      <c r="D29" s="87" t="n"/>
      <c r="E29" t="inlineStr">
        <is>
          <t>Наряды распределены равномерно, уборщики не равномерно</t>
        </is>
      </c>
    </row>
    <row r="30" ht="41.25" customHeight="1" thickBot="1">
      <c r="A30" s="84" t="n"/>
      <c r="B30" s="84" t="n"/>
      <c r="C30" s="84" t="n"/>
      <c r="D30" s="84" t="n"/>
      <c r="E30" t="inlineStr">
        <is>
          <t>Наряды и уборщики распределены не равномерно</t>
        </is>
      </c>
    </row>
    <row r="31" ht="47.25" customHeight="1">
      <c r="A31" s="85" t="inlineStr">
        <is>
          <t>10.</t>
        </is>
      </c>
      <c r="B31" s="86" t="inlineStr">
        <is>
          <t>Организация подготовки суточного наряда назначенного от подразделения</t>
        </is>
      </c>
      <c r="C31" s="14" t="n"/>
      <c r="D31" s="86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допущен",0,"")))</f>
        <v/>
      </c>
      <c r="E31" t="inlineStr">
        <is>
          <t>Подготовка проведена, на разводе замечаний нет</t>
        </is>
      </c>
    </row>
    <row r="32">
      <c r="A32" s="87" t="n"/>
      <c r="B32" s="87" t="n"/>
      <c r="C32" s="87" t="n"/>
      <c r="D32" s="87" t="n"/>
      <c r="E32" t="inlineStr">
        <is>
          <t>Подготовка проведена, на разводе более трех замечаний</t>
        </is>
      </c>
    </row>
    <row r="33" ht="7.5" customHeight="1" thickBot="1">
      <c r="A33" s="84" t="n"/>
      <c r="B33" s="84" t="n"/>
      <c r="C33" s="84" t="n"/>
      <c r="D33" s="84" t="n"/>
      <c r="E33" t="inlineStr">
        <is>
          <t>Подготовка не проведена, на разводе более трех замечаний или личный состав не допущен</t>
        </is>
      </c>
    </row>
    <row r="34">
      <c r="A34" s="85" t="inlineStr">
        <is>
          <t>11.</t>
        </is>
      </c>
      <c r="B34" s="86" t="inlineStr">
        <is>
          <t>Несение службы наряда, назначенного от подразделения</t>
        </is>
      </c>
      <c r="C34" s="14" t="n"/>
      <c r="D34" s="86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«хорошо»",0,"")))</f>
        <v/>
      </c>
      <c r="E34" t="inlineStr">
        <is>
          <t>Замечаний нет, оценка старшине не ниже «хорошо»</t>
        </is>
      </c>
    </row>
    <row r="35">
      <c r="A35" s="87" t="n"/>
      <c r="B35" s="87" t="n"/>
      <c r="C35" s="87" t="n"/>
      <c r="D35" s="87" t="n"/>
      <c r="E35" t="inlineStr">
        <is>
          <t>Замечаний не более пяти, оценка старшине не ниже «хорошо»</t>
        </is>
      </c>
    </row>
    <row r="36" ht="39" customHeight="1" thickBot="1">
      <c r="A36" s="84" t="n"/>
      <c r="B36" s="84" t="n"/>
      <c r="C36" s="84" t="n"/>
      <c r="D36" s="84" t="n"/>
      <c r="E36" t="inlineStr">
        <is>
          <t>Замечаний более пяти или наряд отстранен, оценка старшине ниже «хорошо»</t>
        </is>
      </c>
    </row>
    <row r="37">
      <c r="A37" s="85" t="inlineStr">
        <is>
          <t>12.</t>
        </is>
      </c>
      <c r="B37" s="86" t="inlineStr">
        <is>
          <t>Соблюдение требований безопасности</t>
        </is>
      </c>
      <c r="C37" s="14" t="n"/>
      <c r="D37" s="86">
        <f>IF(C37="Нарушений ТБ, приведших к травматизму л/с нет",10,IF(C37="Есть нарушения ТБ, приведшие к травматизму л/с",0,""))</f>
        <v/>
      </c>
      <c r="E37" t="inlineStr">
        <is>
          <t>Нарушений ТБ, приведших к травматизму л/с нет</t>
        </is>
      </c>
    </row>
    <row r="38" ht="33.75" customHeight="1" thickBot="1">
      <c r="A38" s="84" t="n"/>
      <c r="B38" s="84" t="n"/>
      <c r="C38" s="84" t="n"/>
      <c r="D38" s="84" t="n"/>
      <c r="E38" t="inlineStr">
        <is>
          <t>Есть нарушения ТБ, приведшие к травматизму л/с</t>
        </is>
      </c>
    </row>
    <row r="39">
      <c r="A39" s="85" t="inlineStr">
        <is>
          <t>13.</t>
        </is>
      </c>
      <c r="B39" s="86" t="inlineStr">
        <is>
          <t>Соблюдение элементов распорядка дня</t>
        </is>
      </c>
      <c r="C39" s="14" t="n"/>
      <c r="D39" s="86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сорвано",0,"")))</f>
        <v/>
      </c>
      <c r="E39" t="inlineStr">
        <is>
          <t>Элементы распорядка дня соблюдаются</t>
        </is>
      </c>
    </row>
    <row r="40">
      <c r="A40" s="87" t="n"/>
      <c r="B40" s="87" t="n"/>
      <c r="C40" s="87" t="n"/>
      <c r="D40" s="87" t="n"/>
      <c r="E40" t="inlineStr">
        <is>
          <t>Не более пяти нарушений распорядка дня, срывов мероприятий не допущено</t>
        </is>
      </c>
    </row>
    <row r="41" ht="15.75" customHeight="1" thickBot="1">
      <c r="A41" s="84" t="n"/>
      <c r="B41" s="84" t="n"/>
      <c r="C41" s="84" t="n"/>
      <c r="D41" s="84" t="n"/>
      <c r="E41" t="inlineStr">
        <is>
          <t>Более пяти нарушений элементов распорядка дня или мероприятие сорвано</t>
        </is>
      </c>
    </row>
    <row r="42">
      <c r="A42" s="85" t="inlineStr">
        <is>
          <t>14.</t>
        </is>
      </c>
      <c r="B42" s="14" t="inlineStr">
        <is>
          <t>Состояние материальных средств
(в том числе оружия)</t>
        </is>
      </c>
      <c r="C42" s="14" t="n"/>
      <c r="D42" s="86">
        <f>IF(C42="Материальные средства подразделения в наличии, исправны, обслужены, хранятся правильно",5,IF(C42="Не выполнены предъявляемые критерии",0,""))</f>
        <v/>
      </c>
      <c r="E42" t="inlineStr">
        <is>
          <t>Материальные средства подразделения в наличии, исправны, обслужены, хранятся правильно</t>
        </is>
      </c>
    </row>
    <row r="43" ht="39.75" customHeight="1" thickBot="1">
      <c r="A43" s="84" t="n"/>
      <c r="B43" s="84" t="n"/>
      <c r="C43" s="84" t="n"/>
      <c r="D43" s="84" t="n"/>
      <c r="E43" t="inlineStr">
        <is>
          <t>Не выполнены предъявляемые критерии</t>
        </is>
      </c>
    </row>
    <row r="44">
      <c r="A44" s="85" t="inlineStr">
        <is>
          <t>15.</t>
        </is>
      </c>
      <c r="B44" s="14" t="inlineStr">
        <is>
          <t>Успеваемость по физической подготовке (культуре) старшины 
(по итогам промежуточной аттестации)</t>
        </is>
      </c>
      <c r="C44" s="14" t="n"/>
      <c r="D44" s="86">
        <f>IF(C44="Оценка по физической подготовке (культуре) - 5",2,IF(C44="Оценка по физической подготовке (культуре) - 4",1,""))</f>
        <v/>
      </c>
      <c r="E44" t="inlineStr">
        <is>
          <t>Оценка по физической подготовке (культуре) - 5</t>
        </is>
      </c>
    </row>
    <row r="45" ht="95.25" customHeight="1" thickBot="1">
      <c r="A45" s="84" t="n"/>
      <c r="B45" s="84" t="n"/>
      <c r="C45" s="84" t="n"/>
      <c r="D45" s="84" t="n"/>
      <c r="E45" t="inlineStr">
        <is>
          <t>Оценка по физической подготовке (культуре) - 4</t>
        </is>
      </c>
    </row>
    <row r="46" ht="15.75" customHeight="1">
      <c r="A46" s="88" t="inlineStr">
        <is>
          <t>Итоговая сумма баллов:</t>
        </is>
      </c>
      <c r="B46" s="89" t="n"/>
      <c r="C46" s="89" t="n"/>
      <c r="D46" s="90">
        <f>SUM(D7:D45)</f>
        <v/>
      </c>
      <c r="E46" s="8" t="n"/>
    </row>
    <row r="47" ht="16.5" customHeight="1" thickBot="1">
      <c r="A47" s="91" t="n"/>
      <c r="B47" s="92" t="n"/>
      <c r="C47" s="92" t="n"/>
      <c r="D47" s="84" t="n"/>
      <c r="E47" s="8" t="n"/>
    </row>
    <row r="49" ht="20.25" customHeight="1">
      <c r="A49" s="37" t="inlineStr">
        <is>
          <t xml:space="preserve">Начальник курса </t>
        </is>
      </c>
      <c r="D49" s="5" t="n"/>
      <c r="E49" s="5" t="n"/>
    </row>
    <row r="50" ht="20.25" customHeight="1">
      <c r="A50" s="38" t="inlineStr">
        <is>
          <t>________________</t>
        </is>
      </c>
      <c r="D50" s="6" t="n"/>
      <c r="E50" s="6" t="n"/>
    </row>
    <row r="51" ht="21" customHeight="1">
      <c r="A51" s="9" t="n"/>
      <c r="B51" s="9" t="n"/>
      <c r="C51" s="10" t="inlineStr">
        <is>
          <t>________________</t>
        </is>
      </c>
      <c r="D51" s="5" t="n"/>
      <c r="E51" s="9" t="n"/>
    </row>
  </sheetData>
  <mergeCells count="71">
    <mergeCell ref="A12:A14"/>
    <mergeCell ref="D15:D17"/>
    <mergeCell ref="C12:C14"/>
    <mergeCell ref="C39:C41"/>
    <mergeCell ref="C42:C43"/>
    <mergeCell ref="B34:B36"/>
    <mergeCell ref="D12:D14"/>
    <mergeCell ref="D21:D22"/>
    <mergeCell ref="B15:B17"/>
    <mergeCell ref="A23:A25"/>
    <mergeCell ref="D46:D47"/>
    <mergeCell ref="C10:C11"/>
    <mergeCell ref="A50:C50"/>
    <mergeCell ref="C23:C25"/>
    <mergeCell ref="B42:B43"/>
    <mergeCell ref="D18:D20"/>
    <mergeCell ref="C44:C45"/>
    <mergeCell ref="C26:C27"/>
    <mergeCell ref="D23:D25"/>
    <mergeCell ref="B21:B22"/>
    <mergeCell ref="C7:C9"/>
    <mergeCell ref="D39:D41"/>
    <mergeCell ref="A34:A36"/>
    <mergeCell ref="A26:A27"/>
    <mergeCell ref="A28:A30"/>
    <mergeCell ref="C34:C36"/>
    <mergeCell ref="C21:C22"/>
    <mergeCell ref="C28:C30"/>
    <mergeCell ref="A15:A17"/>
    <mergeCell ref="A37:A38"/>
    <mergeCell ref="B7:B9"/>
    <mergeCell ref="B10:B11"/>
    <mergeCell ref="A31:A33"/>
    <mergeCell ref="C18:C20"/>
    <mergeCell ref="B37:B38"/>
    <mergeCell ref="A21:A22"/>
    <mergeCell ref="A3:E3"/>
    <mergeCell ref="B44:B45"/>
    <mergeCell ref="A1:D1"/>
    <mergeCell ref="B31:B33"/>
    <mergeCell ref="A39:A41"/>
    <mergeCell ref="D31:D33"/>
    <mergeCell ref="C15:C17"/>
    <mergeCell ref="D34:D36"/>
    <mergeCell ref="A42:A43"/>
    <mergeCell ref="B12:B14"/>
    <mergeCell ref="D37:D38"/>
    <mergeCell ref="D42:D43"/>
    <mergeCell ref="A10:A11"/>
    <mergeCell ref="B5:B6"/>
    <mergeCell ref="B18:B20"/>
    <mergeCell ref="A46:C47"/>
    <mergeCell ref="D5:D6"/>
    <mergeCell ref="A44:A45"/>
    <mergeCell ref="D44:D45"/>
    <mergeCell ref="B23:B25"/>
    <mergeCell ref="A4:E4"/>
    <mergeCell ref="D10:D11"/>
    <mergeCell ref="C31:C33"/>
    <mergeCell ref="A49:C49"/>
    <mergeCell ref="A7:A9"/>
    <mergeCell ref="B39:B41"/>
    <mergeCell ref="D26:D27"/>
    <mergeCell ref="C37:C38"/>
    <mergeCell ref="D7:D9"/>
    <mergeCell ref="A2:D2"/>
    <mergeCell ref="B26:B27"/>
    <mergeCell ref="B28:B30"/>
    <mergeCell ref="A18:A20"/>
    <mergeCell ref="D28:D30"/>
    <mergeCell ref="C5:C6"/>
  </mergeCells>
  <dataValidations count="15">
    <dataValidation sqref="C7:C9" showDropDown="0" showInputMessage="1" showErrorMessage="1" allowBlank="1" type="list">
      <formula1>$E$7:$E$9</formula1>
    </dataValidation>
    <dataValidation sqref="C10:C11" showDropDown="0" showInputMessage="1" showErrorMessage="1" allowBlank="1" type="list">
      <formula1>$E$10:$E$11</formula1>
    </dataValidation>
    <dataValidation sqref="C12:C14" showDropDown="0" showInputMessage="1" showErrorMessage="1" allowBlank="1" type="list">
      <formula1>$E$12:$E$14</formula1>
    </dataValidation>
    <dataValidation sqref="C15:C16" showDropDown="0" showInputMessage="1" showErrorMessage="1" allowBlank="1" type="list">
      <formula1>$E$15:$E$16</formula1>
    </dataValidation>
    <dataValidation sqref="C18:C20" showDropDown="0" showInputMessage="1" showErrorMessage="1" allowBlank="1" type="list">
      <formula1>$E$18:$E$20</formula1>
    </dataValidation>
    <dataValidation sqref="C21:C22" showDropDown="0" showInputMessage="1" showErrorMessage="1" allowBlank="1" type="list">
      <formula1>$E$21:$E$22</formula1>
    </dataValidation>
    <dataValidation sqref="C23:C25" showDropDown="0" showInputMessage="1" showErrorMessage="1" allowBlank="1" type="list">
      <formula1>$E$23:$E$25</formula1>
    </dataValidation>
    <dataValidation sqref="C26:C27" showDropDown="0" showInputMessage="1" showErrorMessage="1" allowBlank="1" type="list">
      <formula1>$E$26:$E$27</formula1>
    </dataValidation>
    <dataValidation sqref="C28:C30" showDropDown="0" showInputMessage="1" showErrorMessage="1" allowBlank="1" type="list">
      <formula1>$E$28:$E$30</formula1>
    </dataValidation>
    <dataValidation sqref="C31:C33" showDropDown="0" showInputMessage="1" showErrorMessage="1" allowBlank="1" type="list">
      <formula1>$E$31:$E$33</formula1>
    </dataValidation>
    <dataValidation sqref="C34:C36" showDropDown="0" showInputMessage="1" showErrorMessage="1" allowBlank="1" type="list">
      <formula1>$E$34:$E$36</formula1>
    </dataValidation>
    <dataValidation sqref="C37:C38" showDropDown="0" showInputMessage="1" showErrorMessage="1" allowBlank="1" type="list">
      <formula1>$E$37:$E$38</formula1>
    </dataValidation>
    <dataValidation sqref="C39:C41" showDropDown="0" showInputMessage="1" showErrorMessage="1" allowBlank="1" type="list">
      <formula1>$E$39:$E$41</formula1>
    </dataValidation>
    <dataValidation sqref="C42:C43" showDropDown="0" showInputMessage="1" showErrorMessage="1" allowBlank="1" type="list">
      <formula1>$E$42:$E$43</formula1>
    </dataValidation>
    <dataValidation sqref="C44:C45" showDropDown="0" showInputMessage="1" showErrorMessage="1" allowBlank="1" type="list">
      <formula1>$E$44:$E$45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441 учебной группы сержанта Новикова Максима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51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441 учебной группы сержанта Буцыка Романа Евгеньевича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441 учебной группы сержанта Ильясова Чингиза Ильдаровича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442 учебной группы сержанта Гераськина Вячеслава Валерьевича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54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442 учебной группы младшего сержанта Диденко Марка Вадимовича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442 учебной группы сержанта Салахова Арсена Альбертовича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443 учебной группы сержанта Ковалева Владислава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57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443 учебной группы сержанта Прокофьева Алексея Петровича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443 учебной группы сержанта Дуюнова Егора Алексеевича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444 учебной группы сержанта Захарова Павла Сергеевича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60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444 учебной группы младшего сержанта Чинякина Александра Николаевича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444 учебной группы младшего сержанта Сотова Олега Игоревича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444 учебной группы младшего сержанта Тюрина Артема Руслановича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tabColor rgb="FF92D050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31.5703125" customWidth="1" min="4" max="4"/>
    <col hidden="1" width="33.85546875" customWidth="1" min="5" max="5"/>
    <col hidden="1" width="31.5703125" customWidth="1" min="6" max="7"/>
  </cols>
  <sheetData>
    <row r="1" ht="20.25" customHeight="1">
      <c r="A1" s="56" t="inlineStr">
        <is>
          <t>ВЕДОМОСТЬ</t>
        </is>
      </c>
      <c r="E1" s="11" t="n"/>
    </row>
    <row r="2" ht="18.75" customHeight="1">
      <c r="A2" s="57" t="inlineStr">
        <is>
          <t>индивидуальной оценки</t>
        </is>
      </c>
      <c r="E2" s="12" t="n"/>
    </row>
    <row r="3" ht="18.75" customHeight="1">
      <c r="A3" s="58" t="inlineStr">
        <is>
          <t>и.о. старшины 45 курса старшего сержанта Олейникова Никиты Дмитриевича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6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E7" s="16" t="inlineStr">
        <is>
          <t>Средний балл подразделения ≥ 4,5
Средний балл старшины курса ≥ 4,0</t>
        </is>
      </c>
    </row>
    <row r="8" ht="14.25" customHeight="1">
      <c r="A8" s="87" t="n"/>
      <c r="B8" s="87" t="n"/>
      <c r="C8" s="87" t="n"/>
      <c r="D8" s="87" t="n"/>
      <c r="E8" s="17" t="inlineStr">
        <is>
          <t>Средний балл подразделения ≥ 4,0
Средний балл старшины курса ≥ 4,0</t>
        </is>
      </c>
    </row>
    <row r="9" ht="18" customHeight="1" thickBot="1">
      <c r="A9" s="84" t="n"/>
      <c r="B9" s="84" t="n"/>
      <c r="C9" s="84" t="n"/>
      <c r="D9" s="84" t="n"/>
      <c r="E9" s="18" t="inlineStr">
        <is>
          <t>Средний балл подразделения &lt; 4,0
Средний балл старшины курса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14" t="n"/>
      <c r="D10" s="86">
        <f>IF(C10="В подразделении и у старшины курса отсутствуют академические задолженности",10,IF(C10="Имеются задолженности в подразделении или у старшины курса",0,""))</f>
        <v/>
      </c>
      <c r="E10" t="inlineStr">
        <is>
          <t>В подразделении и у старшины курса отсутствуют академические задолженности</t>
        </is>
      </c>
    </row>
    <row r="11" ht="26.25" customHeight="1" thickBot="1">
      <c r="A11" s="84" t="n"/>
      <c r="B11" s="84" t="n"/>
      <c r="C11" s="84" t="n"/>
      <c r="D11" s="84" t="n"/>
      <c r="E11" t="inlineStr">
        <is>
          <t>Имеются задолженности в подразделении или у старшины курса</t>
        </is>
      </c>
    </row>
    <row r="12">
      <c r="A12" s="85" t="inlineStr">
        <is>
          <t>3.</t>
        </is>
      </c>
      <c r="B12" s="86" t="inlineStr">
        <is>
          <t>Наличие текущих задолженностей</t>
        </is>
      </c>
      <c r="C12" s="14" t="n"/>
      <c r="D12" s="86">
        <f>IF(C12="Текущие задолженности в подразделении и у старшины курса отсутствуют",5,IF(C12="Имеются менее 10% задолженностей в подразделении или у старшины курса",3,IF(C12="Имеются более 10% задолженностей в подразделении или у старшины курса",0,"")))</f>
        <v/>
      </c>
      <c r="E12" t="inlineStr">
        <is>
          <t>Текущие задолженности в подразделении и у старшины курса отсутствуют</t>
        </is>
      </c>
    </row>
    <row r="13">
      <c r="A13" s="87" t="n"/>
      <c r="B13" s="87" t="n"/>
      <c r="C13" s="87" t="n"/>
      <c r="D13" s="87" t="n"/>
      <c r="E13" t="inlineStr">
        <is>
          <t>Имеются менее 10% задолженностей в подразделении или у старшины курса</t>
        </is>
      </c>
    </row>
    <row r="14" ht="30.75" customHeight="1" thickBot="1">
      <c r="A14" s="84" t="n"/>
      <c r="B14" s="84" t="n"/>
      <c r="C14" s="84" t="n"/>
      <c r="D14" s="84" t="n"/>
      <c r="E14" t="inlineStr">
        <is>
          <t>Имеются более 10% задолженностей в подразделении или у старшины курса</t>
        </is>
      </c>
    </row>
    <row r="15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n"/>
      <c r="D15" s="86">
        <f>IF(C15="Замечаний нет",5,IF(C15="Имеются замечания",0,""))</f>
        <v/>
      </c>
      <c r="E15" t="inlineStr">
        <is>
          <t>Замечаний нет</t>
        </is>
      </c>
    </row>
    <row r="16" ht="15.75" customHeight="1">
      <c r="A16" s="87" t="n"/>
      <c r="B16" s="87" t="n"/>
      <c r="C16" s="87" t="n"/>
      <c r="D16" s="87" t="n"/>
      <c r="E16" t="inlineStr">
        <is>
          <t>Имеются замечания</t>
        </is>
      </c>
    </row>
    <row r="17" ht="84" customHeight="1" thickBot="1">
      <c r="A17" s="84" t="n"/>
      <c r="B17" s="84" t="n"/>
      <c r="C17" s="84" t="n"/>
      <c r="D17" s="84" t="n"/>
    </row>
    <row r="18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n"/>
      <c r="D18" s="86">
        <f>IF(C18="ПРО, ПРЕ, ГДП в подразделении и у старшины курса отсутствуют",10,IF(C18="ПРО, ПРЕ отсутствуют, имеются не снятые взыскания за ГДП в подразделении, у старшины курса отсутствуют",2,IF(C18="Совершено ПРО, ПРЕ, ГДП в подразделении или старшины курса или допущено сокрытие",0,"")))</f>
        <v/>
      </c>
      <c r="E18" t="inlineStr">
        <is>
          <t>ПРО, ПРЕ, ГДП в подразделении и у старшины курса отсутствуют</t>
        </is>
      </c>
    </row>
    <row r="19">
      <c r="A19" s="87" t="n"/>
      <c r="B19" s="87" t="n"/>
      <c r="C19" s="87" t="n"/>
      <c r="D19" s="87" t="n"/>
      <c r="E19" t="inlineStr">
        <is>
          <t>ПРО, ПРЕ отсутствуют, имеются не снятые взыскания за ГДП в подразделении, у старшины курса отсутствуют</t>
        </is>
      </c>
    </row>
    <row r="20" ht="38.25" customHeight="1" thickBot="1">
      <c r="A20" s="84" t="n"/>
      <c r="B20" s="84" t="n"/>
      <c r="C20" s="84" t="n"/>
      <c r="D20" s="84" t="n"/>
      <c r="E20" t="inlineStr">
        <is>
          <t>Совершено ПРО, ПРЕ, ГДП в подразделении или старшины курса или допущено сокрытие</t>
        </is>
      </c>
    </row>
    <row r="2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n"/>
      <c r="D21" s="86">
        <f>IF(C21="Дисциплинарная практика к подчиненному личному составу ведется",5,IF(C21="Дисциплинарная практика к подчиненному личному составу не реализуется или старшина курса имеет дисциплинарные взыскания",0,""))</f>
        <v/>
      </c>
      <c r="E21" t="inlineStr">
        <is>
          <t>Дисциплинарная практика к подчиненному личному составу ведется</t>
        </is>
      </c>
    </row>
    <row r="22" ht="33.75" customHeight="1" thickBot="1">
      <c r="A22" s="84" t="n"/>
      <c r="B22" s="84" t="n"/>
      <c r="C22" s="84" t="n"/>
      <c r="D22" s="84" t="n"/>
      <c r="E22" t="inlineStr">
        <is>
          <t>Дисциплинарная практика к подчиненному личному составу не реализуется или старшина курса имеет дисциплинарные взыскания</t>
        </is>
      </c>
    </row>
    <row r="23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n"/>
      <c r="D23" s="86">
        <f>IF(C23="Обстановкой владеет, доклады представляет, книжка сержантов актуальна",10,IF(C23="Обстановкой владеет, доклады представляет, книжка сержантов не актуальна",5,IF(C23="Обстановкой не владеет, доклады не представляет, книжка сержантов не актуальна",0,"")))</f>
        <v/>
      </c>
      <c r="E23" t="inlineStr">
        <is>
          <t>Обстановкой владеет, доклады представляет, книжка сержантов актуальна</t>
        </is>
      </c>
    </row>
    <row r="24">
      <c r="A24" s="87" t="n"/>
      <c r="B24" s="87" t="n"/>
      <c r="C24" s="87" t="n"/>
      <c r="D24" s="87" t="n"/>
      <c r="E24" t="inlineStr">
        <is>
          <t>Обстановкой владеет, доклады представляет, книжка сержантов не актуальна</t>
        </is>
      </c>
    </row>
    <row r="25" ht="89.25" customHeight="1" thickBot="1">
      <c r="A25" s="84" t="n"/>
      <c r="B25" s="84" t="n"/>
      <c r="C25" s="84" t="n"/>
      <c r="D25" s="84" t="n"/>
      <c r="E25" t="inlineStr">
        <is>
          <t>Обстановкой не владеет, доклады не представляет, книжка сержантов не актуальна</t>
        </is>
      </c>
    </row>
    <row r="26">
      <c r="A26" s="85" t="inlineStr">
        <is>
          <t>8.</t>
        </is>
      </c>
      <c r="B26" s="86" t="inlineStr">
        <is>
          <t>Распределение увольнений</t>
        </is>
      </c>
      <c r="C26" s="86" t="n"/>
      <c r="D26" s="86">
        <f>IF(C26="Увольнения между учебными группами распределены равномерно",2,IF(C26="Увольнения между учебными группами распределены не равномерно",0,""))</f>
        <v/>
      </c>
      <c r="E26" t="inlineStr">
        <is>
          <t>Увольнения между учебными группами распределены равномерно</t>
        </is>
      </c>
    </row>
    <row r="27" ht="15.75" customHeight="1" thickBot="1">
      <c r="A27" s="84" t="n"/>
      <c r="B27" s="84" t="n"/>
      <c r="C27" s="84" t="n"/>
      <c r="D27" s="84" t="n"/>
      <c r="E27" t="inlineStr">
        <is>
          <t>Увольнения между учебными группами распределены не равномерно</t>
        </is>
      </c>
    </row>
    <row r="28">
      <c r="A28" s="85" t="inlineStr">
        <is>
          <t>9.</t>
        </is>
      </c>
      <c r="B28" s="86" t="inlineStr">
        <is>
          <t>Распределение нарядов, уборщиков по территории и расположению</t>
        </is>
      </c>
      <c r="C28" s="86" t="n"/>
      <c r="D28" s="86">
        <f>IF(C28="Наряды и уборщики распределены равномерно",2,IF(C28="Наряды распределены равномерно, уборщики не равномерно",1,IF(C28="Наряды и уборщики распределены не равномерно",0,"")))</f>
        <v/>
      </c>
      <c r="E28" t="inlineStr">
        <is>
          <t>Наряды и уборщики распределены равномерно</t>
        </is>
      </c>
    </row>
    <row r="29">
      <c r="A29" s="87" t="n"/>
      <c r="B29" s="87" t="n"/>
      <c r="C29" s="87" t="n"/>
      <c r="D29" s="87" t="n"/>
      <c r="E29" t="inlineStr">
        <is>
          <t>Наряды распределены равномерно, уборщики не равномерно</t>
        </is>
      </c>
    </row>
    <row r="30" ht="41.25" customHeight="1" thickBot="1">
      <c r="A30" s="84" t="n"/>
      <c r="B30" s="84" t="n"/>
      <c r="C30" s="84" t="n"/>
      <c r="D30" s="84" t="n"/>
      <c r="E30" t="inlineStr">
        <is>
          <t>Наряды и уборщики распределены не равномерно</t>
        </is>
      </c>
    </row>
    <row r="31" ht="47.25" customHeight="1">
      <c r="A31" s="85" t="inlineStr">
        <is>
          <t>10.</t>
        </is>
      </c>
      <c r="B31" s="86" t="inlineStr">
        <is>
          <t>Организация подготовки суточного наряда назначенного от подразделения</t>
        </is>
      </c>
      <c r="C31" s="14" t="n"/>
      <c r="D31" s="86">
        <f>IF(C31="Подготовка проведена, на разводе замечаний нет",5,IF(C31="Подготовка проведена, на разводе более трех замечаний",3,IF(C31="Подготовка не проведена, на разводе более трех замечаний или личный состав не допущен",0,"")))</f>
        <v/>
      </c>
      <c r="E31" t="inlineStr">
        <is>
          <t>Подготовка проведена, на разводе замечаний нет</t>
        </is>
      </c>
    </row>
    <row r="32">
      <c r="A32" s="87" t="n"/>
      <c r="B32" s="87" t="n"/>
      <c r="C32" s="87" t="n"/>
      <c r="D32" s="87" t="n"/>
      <c r="E32" t="inlineStr">
        <is>
          <t>Подготовка проведена, на разводе более трех замечаний</t>
        </is>
      </c>
    </row>
    <row r="33" ht="7.5" customHeight="1" thickBot="1">
      <c r="A33" s="84" t="n"/>
      <c r="B33" s="84" t="n"/>
      <c r="C33" s="84" t="n"/>
      <c r="D33" s="84" t="n"/>
      <c r="E33" t="inlineStr">
        <is>
          <t>Подготовка не проведена, на разводе более трех замечаний или личный состав не допущен</t>
        </is>
      </c>
    </row>
    <row r="34">
      <c r="A34" s="85" t="inlineStr">
        <is>
          <t>11.</t>
        </is>
      </c>
      <c r="B34" s="86" t="inlineStr">
        <is>
          <t>Несение службы наряда, назначенного от подразделения</t>
        </is>
      </c>
      <c r="C34" s="14" t="n"/>
      <c r="D34" s="86">
        <f>IF(C34="Замечаний нет, оценка старшине не ниже «хорошо»",5,IF(C34="Замечаний не более пяти, оценка старшине не ниже «хорошо»",3,IF(C34="Замечаний более пяти или наряд отстранен, оценка старшине ниже «хорошо»",0,"")))</f>
        <v/>
      </c>
      <c r="E34" t="inlineStr">
        <is>
          <t>Замечаний нет, оценка старшине не ниже «хорошо»</t>
        </is>
      </c>
    </row>
    <row r="35">
      <c r="A35" s="87" t="n"/>
      <c r="B35" s="87" t="n"/>
      <c r="C35" s="87" t="n"/>
      <c r="D35" s="87" t="n"/>
      <c r="E35" t="inlineStr">
        <is>
          <t>Замечаний не более пяти, оценка старшине не ниже «хорошо»</t>
        </is>
      </c>
    </row>
    <row r="36" ht="39" customHeight="1" thickBot="1">
      <c r="A36" s="84" t="n"/>
      <c r="B36" s="84" t="n"/>
      <c r="C36" s="84" t="n"/>
      <c r="D36" s="84" t="n"/>
      <c r="E36" t="inlineStr">
        <is>
          <t>Замечаний более пяти или наряд отстранен, оценка старшине ниже «хорошо»</t>
        </is>
      </c>
    </row>
    <row r="37">
      <c r="A37" s="85" t="inlineStr">
        <is>
          <t>12.</t>
        </is>
      </c>
      <c r="B37" s="86" t="inlineStr">
        <is>
          <t>Соблюдение требований безопасности</t>
        </is>
      </c>
      <c r="C37" s="14" t="n"/>
      <c r="D37" s="86">
        <f>IF(C37="Нарушений ТБ, приведших к травматизму л/с нет",10,IF(C37="Есть нарушения ТБ, приведшие к травматизму л/с",0,""))</f>
        <v/>
      </c>
      <c r="E37" t="inlineStr">
        <is>
          <t>Нарушений ТБ, приведших к травматизму л/с нет</t>
        </is>
      </c>
    </row>
    <row r="38" ht="33.75" customHeight="1" thickBot="1">
      <c r="A38" s="84" t="n"/>
      <c r="B38" s="84" t="n"/>
      <c r="C38" s="84" t="n"/>
      <c r="D38" s="84" t="n"/>
      <c r="E38" t="inlineStr">
        <is>
          <t>Есть нарушения ТБ, приведшие к травматизму л/с</t>
        </is>
      </c>
    </row>
    <row r="39">
      <c r="A39" s="85" t="inlineStr">
        <is>
          <t>13.</t>
        </is>
      </c>
      <c r="B39" s="86" t="inlineStr">
        <is>
          <t>Соблюдение элементов распорядка дня</t>
        </is>
      </c>
      <c r="C39" s="14" t="n"/>
      <c r="D39" s="86">
        <f>IF(C39="Элементы распорядка дня соблюдаются",10,IF(C39="Не более пяти нарушений распорядка дня, срывов мероприятий не допущено",5,IF(C39="Более пяти нарушений элементов распорядка дня или мероприятие сорвано",0,"")))</f>
        <v/>
      </c>
      <c r="E39" t="inlineStr">
        <is>
          <t>Элементы распорядка дня соблюдаются</t>
        </is>
      </c>
    </row>
    <row r="40">
      <c r="A40" s="87" t="n"/>
      <c r="B40" s="87" t="n"/>
      <c r="C40" s="87" t="n"/>
      <c r="D40" s="87" t="n"/>
      <c r="E40" t="inlineStr">
        <is>
          <t>Не более пяти нарушений распорядка дня, срывов мероприятий не допущено</t>
        </is>
      </c>
    </row>
    <row r="41" ht="15.75" customHeight="1" thickBot="1">
      <c r="A41" s="84" t="n"/>
      <c r="B41" s="84" t="n"/>
      <c r="C41" s="84" t="n"/>
      <c r="D41" s="84" t="n"/>
      <c r="E41" t="inlineStr">
        <is>
          <t>Более пяти нарушений элементов распорядка дня или мероприятие сорвано</t>
        </is>
      </c>
    </row>
    <row r="42">
      <c r="A42" s="85" t="inlineStr">
        <is>
          <t>14.</t>
        </is>
      </c>
      <c r="B42" s="14" t="inlineStr">
        <is>
          <t>Состояние материальных средств
(в том числе оружия)</t>
        </is>
      </c>
      <c r="C42" s="14" t="n"/>
      <c r="D42" s="86">
        <f>IF(C42="Материальные средства подразделения в наличии, исправны, обслужены, хранятся правильно",5,IF(C42="Не выполнены предъявляемые критерии",0,""))</f>
        <v/>
      </c>
      <c r="E42" t="inlineStr">
        <is>
          <t>Материальные средства подразделения в наличии, исправны, обслужены, хранятся правильно</t>
        </is>
      </c>
    </row>
    <row r="43" ht="39.75" customHeight="1" thickBot="1">
      <c r="A43" s="84" t="n"/>
      <c r="B43" s="84" t="n"/>
      <c r="C43" s="84" t="n"/>
      <c r="D43" s="84" t="n"/>
      <c r="E43" t="inlineStr">
        <is>
          <t>Не выполнены предъявляемые критерии</t>
        </is>
      </c>
    </row>
    <row r="44">
      <c r="A44" s="85" t="inlineStr">
        <is>
          <t>15.</t>
        </is>
      </c>
      <c r="B44" s="14" t="inlineStr">
        <is>
          <t>Успеваемость по физической подготовке (культуре) старшины 
(по итогам промежуточной аттестации)</t>
        </is>
      </c>
      <c r="C44" s="14" t="n"/>
      <c r="D44" s="86">
        <f>IF(C44="Оценка по физической подготовке (культуре) - 5",2,IF(C44="Оценка по физической подготовке (культуре) - 4",1,""))</f>
        <v/>
      </c>
      <c r="E44" t="inlineStr">
        <is>
          <t>Оценка по физической подготовке (культуре) - 5</t>
        </is>
      </c>
    </row>
    <row r="45" ht="95.25" customHeight="1" thickBot="1">
      <c r="A45" s="84" t="n"/>
      <c r="B45" s="84" t="n"/>
      <c r="C45" s="84" t="n"/>
      <c r="D45" s="84" t="n"/>
      <c r="E45" t="inlineStr">
        <is>
          <t>Оценка по физической подготовке (культуре) - 4</t>
        </is>
      </c>
    </row>
    <row r="46" ht="15.75" customHeight="1">
      <c r="A46" s="88" t="inlineStr">
        <is>
          <t>Итоговая сумма баллов:</t>
        </is>
      </c>
      <c r="B46" s="89" t="n"/>
      <c r="C46" s="89" t="n"/>
      <c r="D46" s="90">
        <f>SUM(D7:D45)</f>
        <v/>
      </c>
      <c r="E46" s="8" t="n"/>
    </row>
    <row r="47" ht="16.5" customHeight="1" thickBot="1">
      <c r="A47" s="91" t="n"/>
      <c r="B47" s="92" t="n"/>
      <c r="C47" s="92" t="n"/>
      <c r="D47" s="84" t="n"/>
      <c r="E47" s="8" t="n"/>
    </row>
    <row r="49" ht="20.25" customHeight="1">
      <c r="A49" s="37" t="inlineStr">
        <is>
          <t xml:space="preserve">Начальник курса </t>
        </is>
      </c>
      <c r="D49" s="5" t="n"/>
      <c r="E49" s="5" t="n"/>
    </row>
    <row r="50" ht="20.25" customHeight="1">
      <c r="A50" s="38" t="inlineStr">
        <is>
          <t>________________</t>
        </is>
      </c>
      <c r="D50" s="6" t="n"/>
      <c r="E50" s="6" t="n"/>
    </row>
    <row r="51" ht="21" customHeight="1">
      <c r="A51" s="9" t="n"/>
      <c r="B51" s="9" t="n"/>
      <c r="C51" s="10" t="inlineStr">
        <is>
          <t>________________</t>
        </is>
      </c>
      <c r="D51" s="5" t="n"/>
      <c r="E51" s="9" t="n"/>
    </row>
  </sheetData>
  <mergeCells count="71">
    <mergeCell ref="A12:A14"/>
    <mergeCell ref="D15:D17"/>
    <mergeCell ref="C12:C14"/>
    <mergeCell ref="C39:C41"/>
    <mergeCell ref="C42:C43"/>
    <mergeCell ref="B34:B36"/>
    <mergeCell ref="D12:D14"/>
    <mergeCell ref="D21:D22"/>
    <mergeCell ref="B15:B17"/>
    <mergeCell ref="A23:A25"/>
    <mergeCell ref="D46:D47"/>
    <mergeCell ref="C10:C11"/>
    <mergeCell ref="A50:C50"/>
    <mergeCell ref="C23:C25"/>
    <mergeCell ref="B42:B43"/>
    <mergeCell ref="D18:D20"/>
    <mergeCell ref="C44:C45"/>
    <mergeCell ref="C26:C27"/>
    <mergeCell ref="D23:D25"/>
    <mergeCell ref="B21:B22"/>
    <mergeCell ref="C7:C9"/>
    <mergeCell ref="D39:D41"/>
    <mergeCell ref="A34:A36"/>
    <mergeCell ref="A26:A27"/>
    <mergeCell ref="A28:A30"/>
    <mergeCell ref="C34:C36"/>
    <mergeCell ref="C21:C22"/>
    <mergeCell ref="C28:C30"/>
    <mergeCell ref="A15:A17"/>
    <mergeCell ref="A37:A38"/>
    <mergeCell ref="B7:B9"/>
    <mergeCell ref="B10:B11"/>
    <mergeCell ref="A31:A33"/>
    <mergeCell ref="C18:C20"/>
    <mergeCell ref="B37:B38"/>
    <mergeCell ref="A21:A22"/>
    <mergeCell ref="A3:E3"/>
    <mergeCell ref="B44:B45"/>
    <mergeCell ref="A1:D1"/>
    <mergeCell ref="B31:B33"/>
    <mergeCell ref="A39:A41"/>
    <mergeCell ref="D31:D33"/>
    <mergeCell ref="C15:C17"/>
    <mergeCell ref="D34:D36"/>
    <mergeCell ref="A42:A43"/>
    <mergeCell ref="B12:B14"/>
    <mergeCell ref="D37:D38"/>
    <mergeCell ref="D42:D43"/>
    <mergeCell ref="A10:A11"/>
    <mergeCell ref="B5:B6"/>
    <mergeCell ref="B18:B20"/>
    <mergeCell ref="A46:C47"/>
    <mergeCell ref="D5:D6"/>
    <mergeCell ref="A44:A45"/>
    <mergeCell ref="D44:D45"/>
    <mergeCell ref="B23:B25"/>
    <mergeCell ref="A4:E4"/>
    <mergeCell ref="D10:D11"/>
    <mergeCell ref="C31:C33"/>
    <mergeCell ref="A49:C49"/>
    <mergeCell ref="A7:A9"/>
    <mergeCell ref="B39:B41"/>
    <mergeCell ref="D26:D27"/>
    <mergeCell ref="C37:C38"/>
    <mergeCell ref="D7:D9"/>
    <mergeCell ref="A2:D2"/>
    <mergeCell ref="B26:B27"/>
    <mergeCell ref="B28:B30"/>
    <mergeCell ref="A18:A20"/>
    <mergeCell ref="D28:D30"/>
    <mergeCell ref="C5:C6"/>
  </mergeCells>
  <dataValidations count="15">
    <dataValidation sqref="C7:C9" showDropDown="0" showInputMessage="1" showErrorMessage="1" allowBlank="1" type="list">
      <formula1>$E$7:$E$9</formula1>
    </dataValidation>
    <dataValidation sqref="C10:C11" showDropDown="0" showInputMessage="1" showErrorMessage="1" allowBlank="1" type="list">
      <formula1>$E$10:$E$11</formula1>
    </dataValidation>
    <dataValidation sqref="C12:C14" showDropDown="0" showInputMessage="1" showErrorMessage="1" allowBlank="1" type="list">
      <formula1>$E$12:$E$14</formula1>
    </dataValidation>
    <dataValidation sqref="C15:C16" showDropDown="0" showInputMessage="1" showErrorMessage="1" allowBlank="1" type="list">
      <formula1>$E$15:$E$16</formula1>
    </dataValidation>
    <dataValidation sqref="C18:C20" showDropDown="0" showInputMessage="1" showErrorMessage="1" allowBlank="1" type="list">
      <formula1>$E$18:$E$20</formula1>
    </dataValidation>
    <dataValidation sqref="C21:C22" showDropDown="0" showInputMessage="1" showErrorMessage="1" allowBlank="1" type="list">
      <formula1>$E$21:$E$22</formula1>
    </dataValidation>
    <dataValidation sqref="C23:C25" showDropDown="0" showInputMessage="1" showErrorMessage="1" allowBlank="1" type="list">
      <formula1>$E$23:$E$25</formula1>
    </dataValidation>
    <dataValidation sqref="C26:C27" showDropDown="0" showInputMessage="1" showErrorMessage="1" allowBlank="1" type="list">
      <formula1>$E$26:$E$27</formula1>
    </dataValidation>
    <dataValidation sqref="C28:C30" showDropDown="0" showInputMessage="1" showErrorMessage="1" allowBlank="1" type="list">
      <formula1>$E$28:$E$30</formula1>
    </dataValidation>
    <dataValidation sqref="C31:C33" showDropDown="0" showInputMessage="1" showErrorMessage="1" allowBlank="1" type="list">
      <formula1>$E$31:$E$33</formula1>
    </dataValidation>
    <dataValidation sqref="C34:C36" showDropDown="0" showInputMessage="1" showErrorMessage="1" allowBlank="1" type="list">
      <formula1>$E$34:$E$36</formula1>
    </dataValidation>
    <dataValidation sqref="C37:C38" showDropDown="0" showInputMessage="1" showErrorMessage="1" allowBlank="1" type="list">
      <formula1>$E$37:$E$38</formula1>
    </dataValidation>
    <dataValidation sqref="C39:C41" showDropDown="0" showInputMessage="1" showErrorMessage="1" allowBlank="1" type="list">
      <formula1>$E$39:$E$41</formula1>
    </dataValidation>
    <dataValidation sqref="C42:C43" showDropDown="0" showInputMessage="1" showErrorMessage="1" allowBlank="1" type="list">
      <formula1>$E$42:$E$43</formula1>
    </dataValidation>
    <dataValidation sqref="C44:C45" showDropDown="0" showInputMessage="1" showErrorMessage="1" allowBlank="1" type="list">
      <formula1>$E$44:$E$45</formula1>
    </dataValidation>
  </dataValidation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451 учебной группы старшего сержанта Заики Матвея Максимовича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65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451 учебной группы сержанта Нагибина Алексея Сергеевича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451 учебной группы сержанта Акшинцева Алексея Евгеньевича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452 учебной группы старшего сержанта Олейникова Никиты Дмитриевича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68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452 учебной группы старшего сержанта Важенина Дениса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452 учебной группы сержанта Аксенова Дмитрия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453 учебной группы старшего сержанта Кузнецова Сергея Николаевича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71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453 учебной группы сержанта Чавкина Никиты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453 учебной группы сержанта Войнова Владимира Владимировича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tabColor rgb="FF92D050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5703125" customWidth="1" min="4" max="4"/>
    <col width="0.140625" customWidth="1" min="5" max="5"/>
    <col width="0.42578125" customWidth="1" min="6" max="6"/>
    <col hidden="1" width="9.140625" customWidth="1" min="7" max="11"/>
    <col hidden="1" width="12" customWidth="1" min="12" max="12"/>
    <col width="9.140625" customWidth="1" min="13" max="13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заместителя командира взвода 454 учебной группы старшего сержанта Донгака Чамыяна Монге-Доржуевича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n"/>
      <c r="D7" s="86">
        <f>IF(IFERROR(SEARCH("подразделения ≥ 4,5", C7), 0) &gt; 0, 5, IF(IFERROR(SEARCH("подразделения ≥ 4,0", C7), 0) &gt; 0, 3, IF(IFERROR(SEARCH("&lt;", C7), 0) &gt; 0, 0,)))</f>
        <v/>
      </c>
      <c r="G7" s="16" t="inlineStr">
        <is>
          <t>Средний балл подразделения ≥ 4,5
Средний балл ЗКВ ≥ 4,0</t>
        </is>
      </c>
    </row>
    <row r="8" ht="15" customHeight="1">
      <c r="A8" s="87" t="n"/>
      <c r="B8" s="87" t="n"/>
      <c r="C8" s="87" t="n"/>
      <c r="D8" s="87" t="n"/>
      <c r="G8" s="17" t="inlineStr">
        <is>
          <t>Средний балл подразделения ≥ 4,0
Средний балл ЗКВ ≥ 4,0</t>
        </is>
      </c>
    </row>
    <row r="9" ht="18.75" customHeight="1" thickBot="1">
      <c r="A9" s="84" t="n"/>
      <c r="B9" s="84" t="n"/>
      <c r="C9" s="84" t="n"/>
      <c r="D9" s="84" t="n"/>
      <c r="G9" s="18" t="inlineStr">
        <is>
          <t>Средний балл подразделения &lt; 4,0
Средний балл ЗКВ &lt; 4,0</t>
        </is>
      </c>
    </row>
    <row r="10" ht="15" customHeight="1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n"/>
      <c r="D10" s="86">
        <f>IF(C10="Академические задолженности отсутствуют",10,IF(C10="Имеются академические задолженности в учебной группе или у ЗКВ",0,""))</f>
        <v/>
      </c>
      <c r="G10" t="inlineStr">
        <is>
          <t>Академические задолженности отсутствуют</t>
        </is>
      </c>
    </row>
    <row r="11" ht="15.75" customHeight="1" thickBot="1">
      <c r="A11" s="84" t="n"/>
      <c r="B11" s="84" t="n"/>
      <c r="C11" s="84" t="n"/>
      <c r="D11" s="84" t="n"/>
      <c r="G11" t="inlineStr">
        <is>
          <t>Имеются академические задолженности в учебной группе или у ЗКВ</t>
        </is>
      </c>
    </row>
    <row r="12" ht="15" customHeigh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n"/>
      <c r="D12" s="86">
        <f>IF(C12="В подразделении и у ЗКВ отсутствуют текущие задолженности",5,IF(C12="Имеются менее 20% текущих задолженностей в подразделении или у ЗКВ",3,IF(C12="Имеются более 20% текущих задолженностей в подразделении или у ЗКВ",0,"")))</f>
        <v/>
      </c>
      <c r="G12" t="inlineStr">
        <is>
          <t>В подразделении и у ЗКВ отсутствуют текущие задолженности</t>
        </is>
      </c>
    </row>
    <row r="13" ht="15" customHeight="1">
      <c r="A13" s="87" t="n"/>
      <c r="B13" s="87" t="n"/>
      <c r="C13" s="87" t="n"/>
      <c r="D13" s="87" t="n"/>
      <c r="G13" t="inlineStr">
        <is>
          <t>Имеются менее 20% текущих задолженностей в подразделении или у ЗКВ</t>
        </is>
      </c>
    </row>
    <row r="14" ht="15.75" customHeight="1" thickBot="1">
      <c r="A14" s="84" t="n"/>
      <c r="B14" s="84" t="n"/>
      <c r="C14" s="84" t="n"/>
      <c r="D14" s="84" t="n"/>
      <c r="G14" t="inlineStr">
        <is>
          <t>Имеются более 20% текущих задолженностей в подразделении или у ЗКВ</t>
        </is>
      </c>
    </row>
    <row r="15" ht="15" customHeight="1">
      <c r="A15" s="85" t="inlineStr">
        <is>
          <t>4.</t>
        </is>
      </c>
      <c r="B15" s="86" t="inlineStr">
        <is>
          <t>Организация учебных занятий</t>
        </is>
      </c>
      <c r="C15" s="93" t="n"/>
      <c r="D15" s="86">
        <f>IF(C15="Подразделение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поддерживается",5,IF(C15="Подразделение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аудитории",3,IF(C15="Подразделение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поддерживается",0,"")))</f>
        <v/>
      </c>
      <c r="L15" s="19" t="inlineStr">
        <is>
          <t>Подразделение прибыло на занятие своевременно; дежурный по аудитории назначен; ЖУУЗ и классная доска оформлены; литература, конспекты, ПЭВМ (по необходимости) получены; внутренний порядок в аудитории поддерживается</t>
        </is>
      </c>
    </row>
    <row r="16" ht="15" customHeight="1">
      <c r="A16" s="87" t="n"/>
      <c r="B16" s="87" t="n"/>
      <c r="C16" s="87" t="n"/>
      <c r="D16" s="87" t="n"/>
      <c r="L16" s="19" t="inlineStr">
        <is>
          <t>Подразделение прибыло на занятие своевременно; дежурный по аудитории назначен; литература, конспекты, ПЭВМ (по необходимости) получены; ЖУУЗ или классная доска оформлены не своевременно; или имеются отклонения по  внутреннему порядку в аудитории</t>
        </is>
      </c>
    </row>
    <row r="17" ht="52.5" customHeight="1" thickBot="1">
      <c r="A17" s="84" t="n"/>
      <c r="B17" s="84" t="n"/>
      <c r="C17" s="84" t="n"/>
      <c r="D17" s="84" t="n"/>
      <c r="L17" t="inlineStr">
        <is>
          <t>Подразделение опоздало на занятие; или ЖУУЗ и классная доска не оформлены; литература, конспекты, ПЭВМ (по необходимости) не получены; или внутренний порядок в аудитории не поддерживается</t>
        </is>
      </c>
    </row>
    <row r="18" ht="15" customHeight="1" thickBot="1">
      <c r="A18" s="85" t="inlineStr">
        <is>
          <t>5.</t>
        </is>
      </c>
      <c r="B18" s="86" t="inlineStr">
        <is>
          <t>Организация самостоятельной работы</t>
        </is>
      </c>
      <c r="C18" s="93" t="n"/>
      <c r="D18" s="86">
        <f>IF(IFERROR(SEARCH("30%", C18), 0) &gt; 0, 5, IF(IFERROR(SEARCH("10%", C18), 0) &gt; 0, 3, IF(IFERROR(SEARCH("не получены", C18), 0) &gt; 0, 0,)))</f>
        <v/>
      </c>
      <c r="L18" s="14" t="inlineStr">
        <is>
          <t>Подразделение прибыло на СР своевременно; дежурный по аудитории назначен; ЖУУЗ и классная доска оформлены; внутренний порядок в аудитории поддерживается; литература, ПЭВМ (не менее 30%) получены; журнал ЗКВ, план СР оформлены и выполняются; перерывы организованы</t>
        </is>
      </c>
    </row>
    <row r="19" ht="15" customHeight="1">
      <c r="A19" s="87" t="n"/>
      <c r="B19" s="87" t="n"/>
      <c r="C19" s="87" t="n"/>
      <c r="D19" s="87" t="n"/>
      <c r="L19" s="19" t="inlineStr">
        <is>
          <t>Подразделение прибыло на СР своевременно; дежурный по аудитории назначен; ЖУУЗ или классная доска заполнены не своевременно; имеются отклонения по  внутреннему порядку в аудитории; ПЭВМ (не менее 10%) получены; литература получена в недостаточном количестве; журнал ЗКВ, план СР оформлены не в полном объеме или не выполняется; перерывы организованы</t>
        </is>
      </c>
    </row>
    <row r="20" ht="105" customHeight="1" thickBot="1">
      <c r="A20" s="84" t="n"/>
      <c r="B20" s="84" t="n"/>
      <c r="C20" s="84" t="n"/>
      <c r="D20" s="84" t="n"/>
      <c r="L20" s="19" t="inlineStr">
        <is>
          <t>Подразделение опоздала на СР; или дежурный по аудитории не назначен; или ЖУУЗ и классная доска не оформлены; или внутренний порядок в аудитории не поддерживается; или литература, ПЭВМ не получены; или журнал ЗКВ, план СР не оформлены и не выполняются; или личный состав спит; или перерывы не организованы</t>
        </is>
      </c>
    </row>
    <row r="21" ht="15" customHeight="1">
      <c r="A21" s="85" t="inlineStr">
        <is>
          <t>6.</t>
        </is>
      </c>
      <c r="B21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21" s="14" t="n"/>
      <c r="D21" s="86">
        <f>IF(C21="Замечания в подразделении и у ЗКВ отсутствуют",5,IF(C21="В подразделении 2 замечания у ЗКВ отсутствуют",3,IF(C21="В подразделении 3 и более замечаний или замечания у ЗКВ",0,"")))</f>
        <v/>
      </c>
      <c r="G21" t="inlineStr">
        <is>
          <t>Замечания в подразделении и у ЗКВ отсутствуют</t>
        </is>
      </c>
    </row>
    <row r="22" ht="15.75" customHeight="1">
      <c r="A22" s="87" t="n"/>
      <c r="B22" s="87" t="n"/>
      <c r="C22" s="87" t="n"/>
      <c r="D22" s="87" t="n"/>
      <c r="G22" t="inlineStr">
        <is>
          <t>В подразделении 2 замечания у ЗКВ отсутствуют</t>
        </is>
      </c>
    </row>
    <row r="23" ht="82.5" customHeight="1" thickBot="1">
      <c r="A23" s="84" t="n"/>
      <c r="B23" s="84" t="n"/>
      <c r="C23" s="84" t="n"/>
      <c r="D23" s="84" t="n"/>
      <c r="G23" t="inlineStr">
        <is>
          <t>В подразделении 3 и более замечаний или замечания у ЗКВ</t>
        </is>
      </c>
    </row>
    <row r="24" ht="15" customHeight="1">
      <c r="A24" s="85" t="inlineStr">
        <is>
          <t>7.</t>
        </is>
      </c>
      <c r="B24" s="86" t="inlineStr">
        <is>
          <t>Наличие ПРО, ПРЕ, грубых дисциплинарных проступков</t>
        </is>
      </c>
      <c r="C24" s="14" t="n"/>
      <c r="D24" s="86">
        <f>IF(C24="ПРО, ПРЕ, ГДП в подразделении и ЗКВ отсутствуют",10,IF(C24="ПРО, ПРЕ отсутствуют, имеются не снятые взыскания за ГДП в подразделении, у ЗКВ отсутствуют",2,IF(C24="Совершено ПРО, ПРЕ, ГДП в подразделении или ЗКВ или допущено сокрытие",0,"")))</f>
        <v/>
      </c>
      <c r="G24" t="inlineStr">
        <is>
          <t>ПРО, ПРЕ, ГДП в подразделении и ЗКВ отсутствуют</t>
        </is>
      </c>
    </row>
    <row r="25" ht="15.75" customHeight="1">
      <c r="A25" s="87" t="n"/>
      <c r="B25" s="87" t="n"/>
      <c r="C25" s="87" t="n"/>
      <c r="D25" s="87" t="n"/>
      <c r="G25" t="inlineStr">
        <is>
          <t>ПРО, ПРЕ отсутствуют, имеются не снятые взыскания за ГДП в подразделении, у ЗКВ отсутствуют</t>
        </is>
      </c>
    </row>
    <row r="26" ht="52.5" customHeight="1" thickBot="1">
      <c r="A26" s="84" t="n"/>
      <c r="B26" s="84" t="n"/>
      <c r="C26" s="84" t="n"/>
      <c r="D26" s="84" t="n"/>
      <c r="G26" t="inlineStr">
        <is>
          <t>Совершено ПРО, ПРЕ, ГДП в подразделении или ЗКВ или допущено сокрытие</t>
        </is>
      </c>
    </row>
    <row r="27" ht="15.75" customHeight="1">
      <c r="A27" s="85" t="inlineStr">
        <is>
          <t>8.</t>
        </is>
      </c>
      <c r="B27" s="86" t="inlineStr">
        <is>
          <t xml:space="preserve">Дисциплинарная практика </t>
        </is>
      </c>
      <c r="C27" s="14" t="n"/>
      <c r="D27" s="86">
        <f>IF(C27="Дисциплинарная практика к подчиненному личному составу ведется",5,IF(C27="Дисциплинарная практика к подчиненному личному составу не реализуется или ЗКВ имеет дисциплинарные взыскания",0,""))</f>
        <v/>
      </c>
      <c r="G27" t="inlineStr">
        <is>
          <t>Дисциплинарная практика к подчиненному личному составу ведется</t>
        </is>
      </c>
    </row>
    <row r="28" ht="15" customHeight="1" thickBot="1">
      <c r="A28" s="84" t="n"/>
      <c r="B28" s="84" t="n"/>
      <c r="C28" s="84" t="n"/>
      <c r="D28" s="84" t="n"/>
      <c r="G28" t="inlineStr">
        <is>
          <t>Дисциплинарная практика к подчиненному личному составу не реализуется или ЗКВ имеет дисциплинарные взыскания</t>
        </is>
      </c>
    </row>
    <row r="29" ht="15" customHeight="1">
      <c r="A29" s="85" t="inlineStr">
        <is>
          <t>9.</t>
        </is>
      </c>
      <c r="B29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9" s="14" t="n"/>
      <c r="D29" s="86">
        <f>IF(C29="Обстановкой владеет, доклады представляет, книжка сержантов актуальна",10,IF(C29="Обстановкой владеет, доклады представляет, книжка сержантов не актуальна",5,IF(C29="Обстановкой не владеет, доклады не представляет, книжка сержантов не актуальна",0,"")))</f>
        <v/>
      </c>
      <c r="G29" t="inlineStr">
        <is>
          <t>Обстановкой владеет, доклады представляет, книжка сержантов актуальна</t>
        </is>
      </c>
    </row>
    <row r="30" ht="15.75" customHeight="1">
      <c r="A30" s="87" t="n"/>
      <c r="B30" s="87" t="n"/>
      <c r="C30" s="87" t="n"/>
      <c r="D30" s="87" t="n"/>
      <c r="G30" t="inlineStr">
        <is>
          <t>Обстановкой владеет, доклады представляет, книжка сержантов не актуальна</t>
        </is>
      </c>
    </row>
    <row r="31" ht="105" customHeight="1" thickBot="1">
      <c r="A31" s="84" t="n"/>
      <c r="B31" s="84" t="n"/>
      <c r="C31" s="84" t="n"/>
      <c r="D31" s="84" t="n"/>
      <c r="G31" t="inlineStr">
        <is>
          <t>Обстановкой не владеет, доклады не представляет, книжка сержантов не актуальна</t>
        </is>
      </c>
    </row>
    <row r="32" ht="26.25" customHeight="1">
      <c r="A32" s="85" t="inlineStr">
        <is>
          <t>10.</t>
        </is>
      </c>
      <c r="B32" s="86" t="inlineStr">
        <is>
          <t>Подведение итогов в подразделении</t>
        </is>
      </c>
      <c r="C32" s="14" t="n"/>
      <c r="D32" s="86">
        <f>IF(C32="Подведение итогов актуально, поставлены конкретные задачи и проводится в установленное время",3,IF(C32="Подведение итогов не актуально, не поставлены задачи или не проводится",0,""))</f>
        <v/>
      </c>
      <c r="G32" t="inlineStr">
        <is>
          <t>Подведение итогов актуально, поставлены конкретные задачи и проводится в установленное время</t>
        </is>
      </c>
    </row>
    <row r="33" ht="30" customHeight="1" thickBot="1">
      <c r="A33" s="84" t="n"/>
      <c r="B33" s="84" t="n"/>
      <c r="C33" s="84" t="n"/>
      <c r="D33" s="84" t="n"/>
      <c r="G33" t="inlineStr">
        <is>
          <t>Подведение итогов не актуально, не поставлены задачи или не проводится</t>
        </is>
      </c>
    </row>
    <row r="34" ht="15" customHeight="1">
      <c r="A34" s="40" t="inlineStr">
        <is>
          <t>11.</t>
        </is>
      </c>
      <c r="B34" s="45" t="inlineStr">
        <is>
          <t>Распределение увольнений</t>
        </is>
      </c>
      <c r="C34" s="14" t="n"/>
      <c r="D34" s="63">
        <f>IF(C34="Увольнения распределены равномерно",2,IF(C34="Увольнения распределяются не равномерно",0,""))</f>
        <v/>
      </c>
      <c r="G34" t="inlineStr">
        <is>
          <t>Увольнения распределены равномерно</t>
        </is>
      </c>
    </row>
    <row r="35" ht="15.75" customHeight="1" thickBot="1">
      <c r="A35" s="84" t="n"/>
      <c r="B35" s="84" t="n"/>
      <c r="C35" s="84" t="n"/>
      <c r="D35" s="84" t="n"/>
      <c r="G35" t="inlineStr">
        <is>
          <t>Увольнения распределяются не равномерно</t>
        </is>
      </c>
    </row>
    <row r="36" ht="15" customHeight="1">
      <c r="A36" s="85" t="inlineStr">
        <is>
          <t>12.</t>
        </is>
      </c>
      <c r="B36" s="86" t="inlineStr">
        <is>
          <t>Распределение нарядов, уборщиков по территории и расположению</t>
        </is>
      </c>
      <c r="C36" s="86" t="n"/>
      <c r="D36" s="93">
        <f>IF(C36="Наряды и уборщики распределены равномерно",2,IF(C36="Наряды распределены равномерно, уборщики не равномерно",1,IF(C36="Наряды и уборщики распределены не равномерно",0,"")))</f>
        <v/>
      </c>
      <c r="G36" t="inlineStr">
        <is>
          <t>Наряды и уборщики распределены равномерно</t>
        </is>
      </c>
    </row>
    <row r="37" ht="15.75" customHeight="1">
      <c r="A37" s="87" t="n"/>
      <c r="B37" s="87" t="n"/>
      <c r="C37" s="87" t="n"/>
      <c r="D37" s="87" t="n"/>
      <c r="G37" t="inlineStr">
        <is>
          <t>Наряды распределены равномерно, уборщики не равномерно</t>
        </is>
      </c>
    </row>
    <row r="38" ht="38.25" customHeight="1" thickBot="1">
      <c r="A38" s="84" t="n"/>
      <c r="B38" s="84" t="n"/>
      <c r="C38" s="84" t="n"/>
      <c r="D38" s="84" t="n"/>
      <c r="G38" t="inlineStr">
        <is>
          <t>Наряды и уборщики распределены не равномерно</t>
        </is>
      </c>
    </row>
    <row r="39" ht="15.75" customHeight="1">
      <c r="A39" s="85" t="inlineStr">
        <is>
          <t>13.</t>
        </is>
      </c>
      <c r="B39" s="86" t="inlineStr">
        <is>
          <t>Несение службы наряда, назначенного от подразделения</t>
        </is>
      </c>
      <c r="C39" s="14" t="n"/>
      <c r="D39" s="86">
        <f>IF(C39="Замечания у подчиненного л/с отсутствуют, ЗКВ оценен не ниже «хорошо»",5,IF(C39="Выявлено не более 2 замечаний у подчиненного л/с, ЗКВ оценен не ниже «хорошо»",3,IF(C39="Л/с отстранен или выявлено более 2 замечаний, ЗКВ оценен ниже «хорошо»",0,"")))</f>
        <v/>
      </c>
      <c r="G39" t="inlineStr">
        <is>
          <t>Замечания у подчиненного л/с отсутствуют, ЗКВ оценен не ниже «хорошо»</t>
        </is>
      </c>
    </row>
    <row r="40" ht="15" customHeight="1">
      <c r="A40" s="87" t="n"/>
      <c r="B40" s="87" t="n"/>
      <c r="C40" s="87" t="n"/>
      <c r="D40" s="87" t="n"/>
      <c r="G40" t="inlineStr">
        <is>
          <t>Выявлено не более 2 замечаний у подчиненного л/с, ЗКВ оценен не ниже «хорошо»</t>
        </is>
      </c>
    </row>
    <row r="41" ht="40.5" customHeight="1" thickBot="1">
      <c r="A41" s="84" t="n"/>
      <c r="B41" s="84" t="n"/>
      <c r="C41" s="84" t="n"/>
      <c r="D41" s="84" t="n"/>
      <c r="G41" t="inlineStr">
        <is>
          <t>Л/с отстранен или выявлено более 2 замечаний, ЗКВ оценен ниже «хорошо»</t>
        </is>
      </c>
    </row>
    <row r="42">
      <c r="A42" s="85" t="inlineStr">
        <is>
          <t>14.</t>
        </is>
      </c>
      <c r="B42" s="86" t="inlineStr">
        <is>
          <t>Соблюдение требований безопасности</t>
        </is>
      </c>
      <c r="C42" s="14" t="n"/>
      <c r="D42" s="86">
        <f>IF(C42="Нарушений ТБ, приведших к травматизму л/с нет",10,IF(C42="Есть нарушения ТБ, приведшие к травматизму л/с",0,""))</f>
        <v/>
      </c>
      <c r="G42" t="inlineStr">
        <is>
          <t>Нарушений ТБ, приведших к травматизму л/с нет</t>
        </is>
      </c>
    </row>
    <row r="43" ht="44.25" customHeight="1" thickBot="1">
      <c r="A43" s="84" t="n"/>
      <c r="B43" s="84" t="n"/>
      <c r="C43" s="84" t="n"/>
      <c r="D43" s="84" t="n"/>
      <c r="G43" t="inlineStr">
        <is>
          <t>Есть нарушения ТБ, приведшие к травматизму л/с</t>
        </is>
      </c>
    </row>
    <row r="44">
      <c r="A44" s="85" t="inlineStr">
        <is>
          <t>15.</t>
        </is>
      </c>
      <c r="B44" s="86" t="inlineStr">
        <is>
          <t>Соблюдение элементов распорядка дня</t>
        </is>
      </c>
      <c r="C44" s="14" t="n"/>
      <c r="D44" s="86">
        <f>IF(C44="Элементы распорядка дня соблюдаются",10,IF(C44="Не более пяти нарушений распорядка дня, срывов мероприятий не допущено",5,IF(C44="Более пяти нарушений элементов распорядка дня или мероприятие сорвано",0,"")))</f>
        <v/>
      </c>
      <c r="G44" t="inlineStr">
        <is>
          <t>Элементы распорядка дня соблюдаются</t>
        </is>
      </c>
    </row>
    <row r="45">
      <c r="A45" s="87" t="n"/>
      <c r="B45" s="87" t="n"/>
      <c r="C45" s="87" t="n"/>
      <c r="D45" s="87" t="n"/>
      <c r="G45" t="inlineStr">
        <is>
          <t>Не более пяти нарушений распорядка дня, срывов мероприятий не допущено</t>
        </is>
      </c>
    </row>
    <row r="46" ht="15.75" customHeight="1" thickBot="1">
      <c r="A46" s="84" t="n"/>
      <c r="B46" s="84" t="n"/>
      <c r="C46" s="84" t="n"/>
      <c r="D46" s="84" t="n"/>
      <c r="G46" t="inlineStr">
        <is>
          <t>Более пяти нарушений элементов распорядка дня или мероприятие сорвано</t>
        </is>
      </c>
    </row>
    <row r="47">
      <c r="A47" s="85" t="inlineStr">
        <is>
          <t>16.</t>
        </is>
      </c>
      <c r="B47" s="86" t="inlineStr">
        <is>
          <t>Состояние материальных средств
(в том числе оружия)</t>
        </is>
      </c>
      <c r="C47" s="14" t="n"/>
      <c r="D47" s="86">
        <f>IF(C47="Материальные средства подразделения в наличии, исправны, обслужены, хранятся правильно",5,IF(C47="Не выполнены предъявляемые критерии",0,""))</f>
        <v/>
      </c>
      <c r="G47" t="inlineStr">
        <is>
          <t>Материальные средства подразделения в наличии, исправны, обслужены, хранятся правильно</t>
        </is>
      </c>
    </row>
    <row r="48" ht="45" customHeight="1" thickBot="1">
      <c r="A48" s="84" t="n"/>
      <c r="B48" s="84" t="n"/>
      <c r="C48" s="84" t="n"/>
      <c r="D48" s="84" t="n"/>
      <c r="G48" t="inlineStr">
        <is>
          <t>Не выполнены предъявляемые критерии</t>
        </is>
      </c>
    </row>
    <row r="49">
      <c r="A49" s="85" t="inlineStr">
        <is>
          <t>17.</t>
        </is>
      </c>
      <c r="B49" s="86" t="inlineStr">
        <is>
          <t>Успеваемость по физической подготовке (культуре) ЗКВ (по итогам промежуточной аттестации)</t>
        </is>
      </c>
      <c r="C49" s="14" t="n"/>
      <c r="D49" s="86">
        <f>IF(C49="Оценка по физической подготовке (культуре) - 5",2,IF(C49="Оценка по физической подготовке (культуре) - 4",1,""))</f>
        <v/>
      </c>
      <c r="G49" t="inlineStr">
        <is>
          <t>Оценка по физической подготовке (культуре) - 5</t>
        </is>
      </c>
    </row>
    <row r="50" ht="97.5" customHeight="1" thickBot="1">
      <c r="A50" s="84" t="n"/>
      <c r="B50" s="84" t="n"/>
      <c r="C50" s="84" t="n"/>
      <c r="D50" s="84" t="n"/>
      <c r="G50" t="inlineStr">
        <is>
          <t>Оценка по физической подготовке (культуре) - 4</t>
        </is>
      </c>
    </row>
    <row r="51" ht="15.75" customHeight="1">
      <c r="A51" s="88" t="inlineStr">
        <is>
          <t>Итоговая сумма баллов:</t>
        </is>
      </c>
      <c r="B51" s="89" t="n"/>
      <c r="C51" s="89" t="n"/>
      <c r="D51" s="90">
        <f>SUM(D7:D50)</f>
        <v/>
      </c>
      <c r="E51" s="8" t="n"/>
    </row>
    <row r="52" ht="16.5" customHeight="1" thickBot="1">
      <c r="A52" s="91" t="n"/>
      <c r="B52" s="92" t="n"/>
      <c r="C52" s="92" t="n"/>
      <c r="D52" s="84" t="n"/>
      <c r="E52" s="8" t="n"/>
    </row>
    <row r="53"/>
    <row r="54" ht="20.25" customHeight="1">
      <c r="A54" s="37" t="inlineStr">
        <is>
          <t xml:space="preserve">Начальник курса </t>
        </is>
      </c>
    </row>
    <row r="55" ht="20.25" customHeight="1">
      <c r="A55" s="38" t="inlineStr">
        <is>
          <t>________________</t>
        </is>
      </c>
    </row>
    <row r="56" ht="21" customHeight="1">
      <c r="A56" s="9" t="n"/>
      <c r="B56" s="9" t="n"/>
      <c r="C56" s="5" t="inlineStr">
        <is>
          <t>________________</t>
        </is>
      </c>
      <c r="D56" s="5" t="n"/>
      <c r="E56" s="9" t="n"/>
    </row>
  </sheetData>
  <mergeCells count="79">
    <mergeCell ref="A21:A23"/>
    <mergeCell ref="C21:C23"/>
    <mergeCell ref="C39:C41"/>
    <mergeCell ref="A29:A31"/>
    <mergeCell ref="A1:E1"/>
    <mergeCell ref="C10:C11"/>
    <mergeCell ref="B42:B43"/>
    <mergeCell ref="B36:B38"/>
    <mergeCell ref="A27:A28"/>
    <mergeCell ref="C7:C9"/>
    <mergeCell ref="D32:D33"/>
    <mergeCell ref="D39:D41"/>
    <mergeCell ref="D29:D31"/>
    <mergeCell ref="A15:A17"/>
    <mergeCell ref="D47:D48"/>
    <mergeCell ref="B7:B9"/>
    <mergeCell ref="A24:A26"/>
    <mergeCell ref="C24:C26"/>
    <mergeCell ref="A51:C52"/>
    <mergeCell ref="C18:C20"/>
    <mergeCell ref="B12:B14"/>
    <mergeCell ref="B21:B23"/>
    <mergeCell ref="C27:C28"/>
    <mergeCell ref="D21:D23"/>
    <mergeCell ref="C44:C46"/>
    <mergeCell ref="D10:D11"/>
    <mergeCell ref="D7:D9"/>
    <mergeCell ref="D34:D35"/>
    <mergeCell ref="C36:C38"/>
    <mergeCell ref="B27:B28"/>
    <mergeCell ref="D49:D50"/>
    <mergeCell ref="A12:A14"/>
    <mergeCell ref="D27:D28"/>
    <mergeCell ref="C12:C14"/>
    <mergeCell ref="C47:C48"/>
    <mergeCell ref="D44:D46"/>
    <mergeCell ref="A3:E3"/>
    <mergeCell ref="A55:E55"/>
    <mergeCell ref="C15:C17"/>
    <mergeCell ref="C32:C33"/>
    <mergeCell ref="A10:A11"/>
    <mergeCell ref="A4:E4"/>
    <mergeCell ref="A7:A9"/>
    <mergeCell ref="B32:B33"/>
    <mergeCell ref="B39:B41"/>
    <mergeCell ref="C34:C35"/>
    <mergeCell ref="B29:B31"/>
    <mergeCell ref="A49:A50"/>
    <mergeCell ref="C49:C50"/>
    <mergeCell ref="A18:A20"/>
    <mergeCell ref="C5:C6"/>
    <mergeCell ref="C42:C43"/>
    <mergeCell ref="B15:B17"/>
    <mergeCell ref="B24:B26"/>
    <mergeCell ref="D24:D26"/>
    <mergeCell ref="D18:D20"/>
    <mergeCell ref="A44:A46"/>
    <mergeCell ref="B34:B35"/>
    <mergeCell ref="A36:A38"/>
    <mergeCell ref="B49:B50"/>
    <mergeCell ref="A2:E2"/>
    <mergeCell ref="C29:C31"/>
    <mergeCell ref="D42:D43"/>
    <mergeCell ref="D36:D38"/>
    <mergeCell ref="B44:B46"/>
    <mergeCell ref="D15:D17"/>
    <mergeCell ref="B47:B48"/>
    <mergeCell ref="D12:D14"/>
    <mergeCell ref="A54:E54"/>
    <mergeCell ref="B10:B11"/>
    <mergeCell ref="A32:A33"/>
    <mergeCell ref="A39:A41"/>
    <mergeCell ref="A42:A43"/>
    <mergeCell ref="A47:A48"/>
    <mergeCell ref="B5:B6"/>
    <mergeCell ref="B18:B20"/>
    <mergeCell ref="D5:D6"/>
    <mergeCell ref="A34:A35"/>
    <mergeCell ref="D51:D52"/>
  </mergeCells>
  <dataValidations count="17">
    <dataValidation sqref="C7:C9" showDropDown="0" showInputMessage="1" showErrorMessage="1" allowBlank="1" type="list">
      <formula1>$G$7:$G$9</formula1>
    </dataValidation>
    <dataValidation sqref="C15:C17" showDropDown="0" showInputMessage="1" showErrorMessage="1" allowBlank="1" type="list">
      <formula1>$L$15:$L$17</formula1>
    </dataValidation>
    <dataValidation sqref="C18:C20" showDropDown="0" showInputMessage="1" showErrorMessage="1" allowBlank="1" type="list">
      <formula1>$L$18:$L$20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21:C23" showDropDown="0" showInputMessage="1" showErrorMessage="1" allowBlank="1" type="list">
      <formula1>$G$21:$G$23</formula1>
    </dataValidation>
    <dataValidation sqref="C24:C26" showDropDown="0" showInputMessage="1" showErrorMessage="1" allowBlank="1" type="list">
      <formula1>$G$24:$G$26</formula1>
    </dataValidation>
    <dataValidation sqref="C27:C28" showDropDown="0" showInputMessage="1" showErrorMessage="1" allowBlank="1" type="list">
      <formula1>$G$27:$G$28</formula1>
    </dataValidation>
    <dataValidation sqref="C29:C31" showDropDown="0" showInputMessage="1" showErrorMessage="1" allowBlank="1" type="list">
      <formula1>$G$29:$G$31</formula1>
    </dataValidation>
    <dataValidation sqref="C32:C33" showDropDown="0" showInputMessage="1" showErrorMessage="1" allowBlank="1" type="list">
      <formula1>$G$32:$G$33</formula1>
    </dataValidation>
    <dataValidation sqref="C34:C35" showDropDown="0" showInputMessage="1" showErrorMessage="1" allowBlank="1" type="list">
      <formula1>$G$34:$G$35</formula1>
    </dataValidation>
    <dataValidation sqref="C36:C38" showDropDown="0" showInputMessage="1" showErrorMessage="1" allowBlank="1" type="list">
      <formula1>$G$36:$G$38</formula1>
    </dataValidation>
    <dataValidation sqref="C39:C41" showDropDown="0" showInputMessage="1" showErrorMessage="1" allowBlank="1" type="list">
      <formula1>$G$39:$G$41</formula1>
    </dataValidation>
    <dataValidation sqref="C42:C43" showDropDown="0" showInputMessage="1" showErrorMessage="1" allowBlank="1" type="list">
      <formula1>$G$42:$G$43</formula1>
    </dataValidation>
    <dataValidation sqref="C44:C46" showDropDown="0" showInputMessage="1" showErrorMessage="1" allowBlank="1" type="list">
      <formula1>$G$44:$G$46</formula1>
    </dataValidation>
    <dataValidation sqref="C47:C48" showDropDown="0" showInputMessage="1" showErrorMessage="1" allowBlank="1" type="list">
      <formula1>$G$47:$G$48</formula1>
    </dataValidation>
    <dataValidation sqref="C49:C50" showDropDown="0" showInputMessage="1" showErrorMessage="1" allowBlank="1" type="list">
      <formula1>$G$49:$G$50</formula1>
    </dataValidation>
  </dataValidations>
  <pageMargins left="0.7" right="0.7" top="0.75" bottom="0.75" header="0.3" footer="0.3"/>
  <pageSetup orientation="portrait" paperSize="9" verticalDpi="0"/>
</worksheet>
</file>

<file path=xl/worksheets/sheet74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1-ого отделения 454 учебной группы сержанта Лекомцева Даниила Сергеевича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2-ого отделения 454 учебной группы сержанта Пучкова Дениса Александровича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tabColor rgb="FF92D050"/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26" customWidth="1" min="2" max="2"/>
    <col width="58.5703125" customWidth="1" min="3" max="3"/>
    <col width="28.42578125" customWidth="1" min="4" max="4"/>
    <col hidden="1" width="24.140625" customWidth="1" min="5" max="5"/>
    <col hidden="1" width="24" customWidth="1" min="6" max="6"/>
    <col hidden="1" width="1.85546875" customWidth="1" min="7" max="7"/>
    <col width="18.42578125" customWidth="1" min="8" max="8"/>
  </cols>
  <sheetData>
    <row r="1" ht="20.25" customHeight="1">
      <c r="A1" s="56" t="inlineStr">
        <is>
          <t>ВЕДОМОСТЬ</t>
        </is>
      </c>
    </row>
    <row r="2" ht="18.75" customHeight="1">
      <c r="A2" s="57" t="inlineStr">
        <is>
          <t>индивидуальной оценки</t>
        </is>
      </c>
    </row>
    <row r="3" ht="18.75" customHeight="1">
      <c r="A3" s="58" t="inlineStr">
        <is>
          <t>командира 3-ого отделения 454 учебной группы младшего сержанта Нехаенко Станислава Сергеевича</t>
        </is>
      </c>
    </row>
    <row r="4" ht="16.5" customHeight="1" thickBot="1">
      <c r="A4" s="59" t="n"/>
    </row>
    <row r="5" ht="15.75" customHeight="1">
      <c r="A5" s="60" t="inlineStr">
        <is>
          <t>№</t>
        </is>
      </c>
      <c r="B5" s="83" t="inlineStr">
        <is>
          <t>Оценка служебной деятельности</t>
        </is>
      </c>
      <c r="C5" s="83" t="inlineStr">
        <is>
          <t>Результаты служебной деятельности</t>
        </is>
      </c>
      <c r="D5" s="83" t="inlineStr">
        <is>
          <t>Количество баллов</t>
        </is>
      </c>
    </row>
    <row r="6" ht="16.5" customHeight="1" thickBot="1">
      <c r="A6" s="61" t="inlineStr">
        <is>
          <t>п/п</t>
        </is>
      </c>
      <c r="B6" s="84" t="n"/>
      <c r="C6" s="84" t="n"/>
      <c r="D6" s="84" t="n"/>
    </row>
    <row r="7" ht="13.5" customHeight="1">
      <c r="A7" s="85" t="inlineStr">
        <is>
          <t>1.</t>
        </is>
      </c>
      <c r="B7" s="86" t="inlineStr">
        <is>
          <t xml:space="preserve">Результаты промежуточной аттестации </t>
        </is>
      </c>
      <c r="C7" s="86" t="inlineStr">
        <is>
          <t>Средний балл подразделения ≥ 4,0
Средний балл командира отделения ≥ 4,0</t>
        </is>
      </c>
      <c r="D7" s="86">
        <f>IF(IFERROR(SEARCH("подразделения ≥ 4,5", C7), 0) &gt; 0, 5, IF(IFERROR(SEARCH("подразделения ≥ 4,0", C7), 0) &gt; 0, 3, IF(IFERROR(SEARCH("&lt;", C7), 0) &gt; 0, 0,)))</f>
        <v/>
      </c>
      <c r="F7" t="n">
        <v>5</v>
      </c>
      <c r="G7" s="16" t="inlineStr">
        <is>
          <t>Средний балл подразделения ≥ 4,5
Средний балл командира отделения ≥ 4,0</t>
        </is>
      </c>
      <c r="N7" s="15" t="n"/>
      <c r="U7" s="15" t="n"/>
    </row>
    <row r="8" ht="20.25" customHeight="1">
      <c r="A8" s="87" t="n"/>
      <c r="B8" s="87" t="n"/>
      <c r="C8" s="87" t="n"/>
      <c r="D8" s="87" t="n"/>
      <c r="F8" t="n">
        <v>3</v>
      </c>
      <c r="G8" s="17" t="inlineStr">
        <is>
          <t>Средний балл подразделения ≥ 4,0
Средний балл командира отделения ≥ 4,0</t>
        </is>
      </c>
      <c r="N8" s="19" t="n"/>
      <c r="U8" s="19" t="n"/>
    </row>
    <row r="9" ht="18" customHeight="1" thickBot="1">
      <c r="A9" s="84" t="n"/>
      <c r="B9" s="84" t="n"/>
      <c r="C9" s="84" t="n"/>
      <c r="D9" s="84" t="n"/>
      <c r="F9" t="n">
        <v>0</v>
      </c>
      <c r="G9" s="18" t="inlineStr">
        <is>
          <t>Средний балл подразделения &lt; 4,0
Средний балл командира отделения &lt; 4,0</t>
        </is>
      </c>
    </row>
    <row r="10">
      <c r="A10" s="85" t="inlineStr">
        <is>
          <t>2.</t>
        </is>
      </c>
      <c r="B10" s="86" t="inlineStr">
        <is>
          <t>Наличие академических задолженностей</t>
        </is>
      </c>
      <c r="C10" s="86" t="inlineStr">
        <is>
          <t>Академические задолженности в подразделении и у командира учебной группы  отсутствуют</t>
        </is>
      </c>
      <c r="D10" s="86">
        <f>IF(IFERROR(SEARCH("отсутствуют", C10), 0) &gt; 0, 10, IF(IFERROR(SEARCH("имеются", C10), 0) &gt; 0, 0, ))</f>
        <v/>
      </c>
      <c r="F10" t="n">
        <v>10</v>
      </c>
      <c r="G10" t="inlineStr">
        <is>
          <t>Академические задолженности в подразделении и у командира учебной группы  отсутствуют</t>
        </is>
      </c>
    </row>
    <row r="11" ht="24.75" customHeight="1" thickBot="1">
      <c r="A11" s="84" t="n"/>
      <c r="B11" s="84" t="n"/>
      <c r="C11" s="84" t="n"/>
      <c r="D11" s="84" t="n"/>
      <c r="F11" t="n">
        <v>0</v>
      </c>
      <c r="G11" s="19" t="inlineStr">
        <is>
          <t>Академические задолженности в подразделении или у командира учебной группы  имеются</t>
        </is>
      </c>
    </row>
    <row r="12" ht="18" customHeight="1" thickBot="1">
      <c r="A12" s="85" t="inlineStr">
        <is>
          <t>3.</t>
        </is>
      </c>
      <c r="B12" s="86" t="inlineStr">
        <is>
          <t>Наличие текущих задолженностей</t>
        </is>
      </c>
      <c r="C12" s="86" t="inlineStr">
        <is>
          <t>Текущие задолженности в подразделении и у командира учебной группы  отсутствуют</t>
        </is>
      </c>
      <c r="D12" s="86">
        <f>IF(IFERROR(SEARCH("Текущие задолженности в подразделении и у командира учебной группы  отсутствуют", C12), 0) &gt; 0, 5, IF(IFERROR(SEARCH("менее 20%", C12), 0) &gt; 0, 3, IF(IFERROR(SEARCH("более 20%", C12), 0) &gt; 0, 0,)))</f>
        <v/>
      </c>
      <c r="F12" t="n">
        <v>5</v>
      </c>
      <c r="G12" s="14" t="inlineStr">
        <is>
          <t>Текущие задолженности в подразделении и у командира учебной группы  отсутствуют</t>
        </is>
      </c>
    </row>
    <row r="13" ht="15.75" customHeight="1">
      <c r="A13" s="87" t="n"/>
      <c r="B13" s="87" t="n"/>
      <c r="C13" s="87" t="n"/>
      <c r="D13" s="87" t="n"/>
      <c r="F13" t="n">
        <v>3</v>
      </c>
      <c r="G13" s="19" t="inlineStr">
        <is>
          <t xml:space="preserve">Текущие задолженности в подразделении менее 20% и у командира учебной группы отсутствуют </t>
        </is>
      </c>
    </row>
    <row r="14" ht="16.5" customHeight="1" thickBot="1">
      <c r="A14" s="84" t="n"/>
      <c r="B14" s="84" t="n"/>
      <c r="C14" s="84" t="n"/>
      <c r="D14" s="84" t="n"/>
      <c r="F14" t="n">
        <v>0</v>
      </c>
      <c r="G14" s="19" t="inlineStr">
        <is>
          <t xml:space="preserve">Текущие задолженности в подразделении более 20% или имеется у командира учебной группы </t>
        </is>
      </c>
    </row>
    <row r="15" ht="15.75" customHeight="1">
      <c r="A15" s="85" t="inlineStr">
        <is>
          <t>4.</t>
        </is>
      </c>
      <c r="B15" s="86" t="inlineStr">
        <is>
          <t>Замечания от УМО, преподавателей и старших начальников в ходе проведения занятий и самостоятельной работы</t>
        </is>
      </c>
      <c r="C15" s="14" t="inlineStr">
        <is>
          <t>Наличие одного замечания в подразделении и отсутствует у командира отделения</t>
        </is>
      </c>
      <c r="D15" s="86">
        <f>IF(IFERROR(SEARCH("Отсутствуют", C15), 0) &gt; 0, 5, IF(IFERROR(SEARCH("Наличие одного", C15), 0) &gt; 0, 3, IF(IFERROR(SEARCH("Наличие двух", C15), 0) &gt; 0, 0,)))</f>
        <v/>
      </c>
      <c r="F15" t="n">
        <v>5</v>
      </c>
      <c r="G15" s="19" t="inlineStr">
        <is>
          <t xml:space="preserve">Отсутствуют замечания в подразделении или у командира отделения </t>
        </is>
      </c>
    </row>
    <row r="16" ht="15.75" customHeight="1">
      <c r="A16" s="87" t="n"/>
      <c r="B16" s="87" t="n"/>
      <c r="C16" s="87" t="n"/>
      <c r="D16" s="87" t="n"/>
      <c r="F16" t="n">
        <v>3</v>
      </c>
      <c r="G16" s="19" t="inlineStr">
        <is>
          <t>Наличие одного замечания в подразделении и отсутствует у командира отделения</t>
        </is>
      </c>
    </row>
    <row r="17" ht="92.25" customHeight="1" thickBot="1">
      <c r="A17" s="84" t="n"/>
      <c r="B17" s="84" t="n"/>
      <c r="C17" s="84" t="n"/>
      <c r="D17" s="84" t="n"/>
      <c r="F17" t="n">
        <v>0</v>
      </c>
      <c r="G17" s="19" t="inlineStr">
        <is>
          <t>Наличие двух и более замечаний в подразделении или у командира отделения</t>
        </is>
      </c>
    </row>
    <row r="18" ht="15" customHeight="1" thickBot="1">
      <c r="A18" s="85" t="inlineStr">
        <is>
          <t>5.</t>
        </is>
      </c>
      <c r="B18" s="86" t="inlineStr">
        <is>
          <t>Наличие ПРО, ПРЕ, грубых дисциплинарных проступков</t>
        </is>
      </c>
      <c r="C18" s="14" t="inlineStr">
        <is>
          <t>ПРО, ПРЕ, ГДП в подразделении и у командира отделения отсутствуют</t>
        </is>
      </c>
      <c r="D18" s="86">
        <f>IF(IFERROR(SEARCH("ПРО, ПРЕ, ГДП в подразделении и у командира отделения отсутствуют", C18), 0) &gt; 0, 10, IF(IFERROR(SEARCH("имеются не снятые взыскания ", C18), 0) &gt; 0, 2, IF(IFERROR(SEARCH("допущено сокрытие", C18), 0) &gt; 0, 0,)))</f>
        <v/>
      </c>
      <c r="F18" t="n">
        <v>10</v>
      </c>
      <c r="G18" s="19" t="inlineStr">
        <is>
          <t>ПРО, ПРЕ, ГДП в подразделении и у командира отделения отсутствуют</t>
        </is>
      </c>
    </row>
    <row r="19" ht="15" customHeight="1" thickBot="1">
      <c r="A19" s="87" t="n"/>
      <c r="B19" s="87" t="n"/>
      <c r="C19" s="87" t="n"/>
      <c r="D19" s="87" t="n"/>
      <c r="F19" t="n">
        <v>2</v>
      </c>
      <c r="G19" s="14" t="inlineStr">
        <is>
          <t>ПРО, ПРЕ отсутствуют, имеются не снятые взыскания за ГДП в подразделении, у командира отделения отсутствуют</t>
        </is>
      </c>
    </row>
    <row r="20" ht="57" customHeight="1" thickBot="1">
      <c r="A20" s="84" t="n"/>
      <c r="B20" s="84" t="n"/>
      <c r="C20" s="84" t="n"/>
      <c r="D20" s="84" t="n"/>
      <c r="F20" t="n">
        <v>0</v>
      </c>
      <c r="G20" s="19" t="inlineStr">
        <is>
          <t>Совершено ПРО, ПРЕ, ГДП в подразделении или командиром отделения, или допущено сокрытие</t>
        </is>
      </c>
    </row>
    <row r="21" ht="15.75" customHeight="1">
      <c r="A21" s="85" t="inlineStr">
        <is>
          <t>6.</t>
        </is>
      </c>
      <c r="B21" s="86" t="inlineStr">
        <is>
          <t xml:space="preserve">Дисциплинарная практика </t>
        </is>
      </c>
      <c r="C21" s="14" t="inlineStr">
        <is>
          <t>Реализует дисциплинарную практику к подчинённому личному составу и не имеет дисциплинарных взысканий</t>
        </is>
      </c>
      <c r="D21" s="86">
        <f>IF(IFERROR(SEARCH("Реализует дисциплинарную практику к подчинённому личному составу и не имеет дисциплинарных взысканий", C21), 0) &gt; 0, 5, IF(IFERROR(SEARCH("Не реализует ", C21), 0) &gt; 0, 0, ))</f>
        <v/>
      </c>
      <c r="F21" t="n">
        <v>5</v>
      </c>
      <c r="G21" s="19" t="inlineStr">
        <is>
          <t>Реализует дисциплинарную практику к подчинённому личному составу и не имеет дисциплинарных взысканий</t>
        </is>
      </c>
    </row>
    <row r="22" ht="42.75" customHeight="1" thickBot="1">
      <c r="A22" s="84" t="n"/>
      <c r="B22" s="84" t="n"/>
      <c r="C22" s="84" t="n"/>
      <c r="D22" s="84" t="n"/>
      <c r="F22" t="n">
        <v>0</v>
      </c>
      <c r="G22" s="19" t="inlineStr">
        <is>
          <t>Не реализует дисциплинарную практику к подчинённому личному составу или имеет дисциплинарные взыскания</t>
        </is>
      </c>
    </row>
    <row r="23" ht="15.75" customHeight="1">
      <c r="A23" s="85" t="inlineStr">
        <is>
          <t>7.</t>
        </is>
      </c>
      <c r="B23" s="86" t="inlineStr">
        <is>
          <t>Знание обстановки в подразделении с докладом начальнику факультета (курса) по возможным отклонениям, ведение книжки сержанта</t>
        </is>
      </c>
      <c r="C23" s="14" t="inlineStr">
        <is>
          <t>Обстановку в подразделении знает и докладывает НФ (НК), информация в книжке сержанта актуальная</t>
        </is>
      </c>
      <c r="D23" s="86">
        <f>IF(IFERROR(SEARCH("сержанта актуальная", C23), 0) &gt; 0, 10, IF(IFERROR(SEARCH("информация в книжке сержанта не актуальная", C23), 0) &gt; 0, 5, IF(IFERROR(SEARCH("не представлен; и информация в книжке сержанта не актуальная", C23), 0) &gt; 0, 0,)))</f>
        <v/>
      </c>
      <c r="F23" t="n">
        <v>10</v>
      </c>
      <c r="G23" s="19" t="inlineStr">
        <is>
          <t>Обстановку в подразделении знает и докладывает НФ (НК), информация в книжке сержанта актуальная</t>
        </is>
      </c>
    </row>
    <row r="24" ht="15.75" customHeight="1">
      <c r="A24" s="87" t="n"/>
      <c r="B24" s="87" t="n"/>
      <c r="C24" s="87" t="n"/>
      <c r="D24" s="87" t="n"/>
      <c r="F24" t="n">
        <v>5</v>
      </c>
      <c r="G24" s="19" t="inlineStr">
        <is>
          <t>Обстановку в подразделении знает и докладывает НФ (НК), информация в книжке сержанта не актуальная</t>
        </is>
      </c>
    </row>
    <row r="25" ht="82.5" customHeight="1" thickBot="1">
      <c r="A25" s="84" t="n"/>
      <c r="B25" s="84" t="n"/>
      <c r="C25" s="84" t="n"/>
      <c r="D25" s="84" t="n"/>
      <c r="F25" t="n">
        <v>0</v>
      </c>
      <c r="G25" s="19" t="inlineStr">
        <is>
          <t>Обстановкой в подразделении не владеет, или доклад НФ (НК) не представлен; и информация в книжке сержанта не актуальная</t>
        </is>
      </c>
    </row>
    <row r="26" ht="15.75" customHeight="1">
      <c r="A26" s="85" t="inlineStr">
        <is>
          <t>8.</t>
        </is>
      </c>
      <c r="B26" s="86" t="inlineStr">
        <is>
          <t>Подведение итогов в подразделении</t>
        </is>
      </c>
      <c r="C26" s="14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  <c r="D26" s="86">
        <f>IF(IFERROR(SEARCH("Подведение итогов в подразделении актуально", C26), 0) &gt; 0, 3, IF(IFERROR(SEARCH("Подведение итогов в подразделении не актуально ", C26), 0) &gt; 0, 0, ))</f>
        <v/>
      </c>
      <c r="F26" t="n">
        <v>3</v>
      </c>
      <c r="G26" s="19" t="inlineStr">
        <is>
          <t xml:space="preserve">Подведение итогов в подразделении актуально, поставлены конкретные задачи и проводится в установленное время </t>
        </is>
      </c>
    </row>
    <row r="27" ht="41.25" customHeight="1" thickBot="1">
      <c r="A27" s="84" t="n"/>
      <c r="B27" s="84" t="n"/>
      <c r="C27" s="84" t="n"/>
      <c r="D27" s="84" t="n"/>
      <c r="F27" t="n">
        <v>0</v>
      </c>
      <c r="G27" s="19" t="inlineStr">
        <is>
          <t xml:space="preserve">Подведение итогов в подразделении не актуально, не поставлены задачи или не проводится </t>
        </is>
      </c>
    </row>
    <row r="28" ht="15.75" customHeight="1">
      <c r="A28" s="85" t="inlineStr">
        <is>
          <t>9.</t>
        </is>
      </c>
      <c r="B28" s="86" t="inlineStr">
        <is>
          <t>Несение службы наряда, назначенного от подразделения</t>
        </is>
      </c>
      <c r="C28" s="14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  <c r="D28" s="86">
        <f>IF(IFERROR(SEARCH("Отсутствуют замечания ", C28), 0) &gt; 0, 5, IF(IFERROR(SEARCH("Выявлено не более одного замечания ", C28), 0) &gt; 0, 3, IF(IFERROR(SEARCH("Отстранен от несения службы ", C28), 0) &gt; 0, 0,)))</f>
        <v/>
      </c>
      <c r="F28" t="n">
        <v>5</v>
      </c>
      <c r="G28" s="19" t="inlineStr">
        <is>
          <t>Отсутствуют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29" ht="15.75" customHeight="1">
      <c r="A29" s="87" t="n"/>
      <c r="B29" s="87" t="n"/>
      <c r="C29" s="87" t="n"/>
      <c r="D29" s="87" t="n"/>
      <c r="F29" t="n">
        <v>3</v>
      </c>
      <c r="G29" s="19" t="inlineStr">
        <is>
          <t>Выявлено не более одного замечания у личного состава наряда, назначенного от подразделения, командир отделения за качество несения службы оценен не ниже «хорошо»</t>
        </is>
      </c>
    </row>
    <row r="30" ht="61.5" customHeight="1" thickBot="1">
      <c r="A30" s="84" t="n"/>
      <c r="B30" s="84" t="n"/>
      <c r="C30" s="84" t="n"/>
      <c r="D30" s="84" t="n"/>
      <c r="F30" t="n">
        <v>0</v>
      </c>
      <c r="G30" s="19" t="inlineStr">
        <is>
          <t>Отстранен от несения службы или выявлено более одного замечания у личного состава наряда, назначенного от подразделения, или командир отделения за качество несения службы оценен ниже «хорошо»</t>
        </is>
      </c>
    </row>
    <row r="31" ht="15.75" customHeight="1">
      <c r="A31" s="85" t="inlineStr">
        <is>
          <t>10.</t>
        </is>
      </c>
      <c r="B31" s="86" t="inlineStr">
        <is>
          <t>Соблюдение требований безопасности</t>
        </is>
      </c>
      <c r="C31" s="14" t="inlineStr">
        <is>
          <t>Отсутствуют нарушения ТБ, которые привели к травматизму личного состава в подразделении</t>
        </is>
      </c>
      <c r="D31" s="86">
        <f>IF(IFERROR(SEARCH("Отсутствуют нарушения ТБ", C31), 0) &gt; 0, 10, IF(IFERROR(SEARCH("Имелись нарушения ТБ", C31), 0) &gt; 0, 0, ))</f>
        <v/>
      </c>
      <c r="F31" t="n">
        <v>10</v>
      </c>
      <c r="G31" s="19" t="inlineStr">
        <is>
          <t>Отсутствуют нарушения ТБ, которые привели к травматизму личного состава в подразделении</t>
        </is>
      </c>
    </row>
    <row r="32" ht="33.75" customHeight="1" thickBot="1">
      <c r="A32" s="84" t="n"/>
      <c r="B32" s="84" t="n"/>
      <c r="C32" s="84" t="n"/>
      <c r="D32" s="84" t="n"/>
      <c r="F32" t="n">
        <v>0</v>
      </c>
      <c r="G32" s="19" t="inlineStr">
        <is>
          <t>Имелись нарушения ТБ, которые привели к травматизму личного состава в подразделении</t>
        </is>
      </c>
    </row>
    <row r="33" ht="15.75" customHeight="1">
      <c r="A33" s="85" t="inlineStr">
        <is>
          <t>11.</t>
        </is>
      </c>
      <c r="B33" s="86" t="inlineStr">
        <is>
          <t>Соблюдение элементов распорядка дня</t>
        </is>
      </c>
      <c r="C33" s="14" t="inlineStr">
        <is>
          <t>Элементы распорядка дня соблюдаются</t>
        </is>
      </c>
      <c r="D33" s="86">
        <f>IF(IFERROR(SEARCH("Элементы распорядка дня соблюдаются", C33), 0) &gt; 0, 10, IF(IFERROR(SEARCH("Допущено не более трех", C33), 0) &gt; 0, 5, IF(IFERROR(SEARCH("Допущено более трёх нарушений ", C33), 0) &gt; 0, 0,)))</f>
        <v/>
      </c>
      <c r="F33" t="n">
        <v>10</v>
      </c>
      <c r="G33" s="19" t="inlineStr">
        <is>
          <t>Элементы распорядка дня соблюдаются</t>
        </is>
      </c>
    </row>
    <row r="34" ht="15.75" customHeight="1">
      <c r="A34" s="87" t="n"/>
      <c r="B34" s="87" t="n"/>
      <c r="C34" s="87" t="n"/>
      <c r="D34" s="87" t="n"/>
      <c r="F34" t="n">
        <v>5</v>
      </c>
      <c r="G34" s="19" t="inlineStr">
        <is>
          <t>Допущено не более трех нарушений элементов распорядка дня, которые не привели к срыву мероприятия в целом</t>
        </is>
      </c>
    </row>
    <row r="35" ht="18" customHeight="1" thickBot="1">
      <c r="A35" s="84" t="n"/>
      <c r="B35" s="84" t="n"/>
      <c r="C35" s="84" t="n"/>
      <c r="D35" s="84" t="n"/>
      <c r="F35" t="n">
        <v>0</v>
      </c>
      <c r="G35" s="19" t="inlineStr">
        <is>
          <t>Допущено более трёх нарушений элементов распорядка дня, которые не привели к срыву мероприятия в целом, или допущен срыв, или нарушение командиром отделения</t>
        </is>
      </c>
    </row>
    <row r="36" ht="15.75" customHeight="1">
      <c r="A36" s="85" t="inlineStr">
        <is>
          <t>12.</t>
        </is>
      </c>
      <c r="B36" s="86" t="inlineStr">
        <is>
          <t>Состояние материальных средств
(в том числе оружия)</t>
        </is>
      </c>
      <c r="C36" s="14" t="inlineStr">
        <is>
          <t>Материальные средства подразделения в наличии, исправны, обслужены, хранятся правильно</t>
        </is>
      </c>
      <c r="D36" s="86">
        <f>IF(IFERROR(SEARCH("Материальные средства ", C36), 0) &gt; 0, 5, IF(IFERROR(SEARCH("Не выполнены ", C36), 0) &gt; 0, 0, ))</f>
        <v/>
      </c>
      <c r="F36" t="n">
        <v>5</v>
      </c>
      <c r="G36" s="19" t="inlineStr">
        <is>
          <t>Материальные средства подразделения в наличии, исправны, обслужены, хранятся правильно</t>
        </is>
      </c>
    </row>
    <row r="37" ht="45" customHeight="1" thickBot="1">
      <c r="A37" s="84" t="n"/>
      <c r="B37" s="84" t="n"/>
      <c r="C37" s="84" t="n"/>
      <c r="D37" s="84" t="n"/>
      <c r="F37" t="n">
        <v>0</v>
      </c>
      <c r="G37" s="19" t="inlineStr">
        <is>
          <t xml:space="preserve">Не выполнены критерии </t>
        </is>
      </c>
    </row>
    <row r="38" ht="15.75" customHeight="1">
      <c r="A38" s="85" t="inlineStr">
        <is>
          <t>13.</t>
        </is>
      </c>
      <c r="B38" s="86" t="inlineStr">
        <is>
          <t>Успеваемость по физической подготовке (культуре) командира отделения (по итогам промежуточной аттестации)</t>
        </is>
      </c>
      <c r="C38" s="14" t="inlineStr">
        <is>
          <t>Оценка по физической подготовке (культуре) 5</t>
        </is>
      </c>
      <c r="D38" s="86">
        <f>IF(IFERROR(SEARCH("5", C38), 0) &gt; 0, 2, IF(IFERROR(SEARCH("4", C38), 0) &gt; 0, 1, ))</f>
        <v/>
      </c>
      <c r="F38" t="n">
        <v>2</v>
      </c>
      <c r="G38" s="19" t="inlineStr">
        <is>
          <t>Оценка по физической подготовке (культуре) 5</t>
        </is>
      </c>
    </row>
    <row r="39" ht="103.5" customHeight="1" thickBot="1">
      <c r="A39" s="84" t="n"/>
      <c r="B39" s="84" t="n"/>
      <c r="C39" s="84" t="n"/>
      <c r="D39" s="84" t="n"/>
      <c r="F39" t="n">
        <v>1</v>
      </c>
      <c r="G39" s="19" t="inlineStr">
        <is>
          <t>Оценка по физической подготовке (культуре) 4</t>
        </is>
      </c>
    </row>
    <row r="40">
      <c r="A40" s="94" t="inlineStr">
        <is>
          <t>Итоговая сумма баллов:</t>
        </is>
      </c>
      <c r="B40" s="89" t="n"/>
      <c r="C40" s="95" t="n"/>
      <c r="D40" s="94">
        <f>SUM(D7:D39)</f>
        <v/>
      </c>
      <c r="E40" s="65" t="n"/>
    </row>
    <row r="41" ht="15.75" customHeight="1" thickBot="1">
      <c r="A41" s="91" t="n"/>
      <c r="B41" s="92" t="n"/>
      <c r="C41" s="96" t="n"/>
      <c r="D41" s="84" t="n"/>
    </row>
    <row r="43" ht="20.25" customHeight="1">
      <c r="A43" s="37" t="inlineStr">
        <is>
          <t xml:space="preserve">Начальник курса </t>
        </is>
      </c>
      <c r="D43" s="5" t="n"/>
      <c r="E43" s="5" t="n"/>
    </row>
    <row r="44" ht="20.25" customHeight="1">
      <c r="D44" s="6" t="n"/>
      <c r="E44" s="6" t="n"/>
    </row>
    <row r="45" ht="20.25" customHeight="1">
      <c r="A45" s="5" t="n"/>
      <c r="B45" s="5" t="n"/>
      <c r="C45" s="5" t="inlineStr">
        <is>
          <t>________________</t>
        </is>
      </c>
      <c r="D45" s="5" t="n"/>
      <c r="E45" s="5" t="n"/>
    </row>
    <row r="46" ht="20.25" customHeight="1">
      <c r="A46" s="5" t="n"/>
      <c r="B46" s="5" t="n"/>
      <c r="C46" s="5" t="inlineStr">
        <is>
          <t>________________</t>
        </is>
      </c>
    </row>
  </sheetData>
  <mergeCells count="63">
    <mergeCell ref="D15:D17"/>
    <mergeCell ref="A12:A14"/>
    <mergeCell ref="C12:C14"/>
    <mergeCell ref="D12:D14"/>
    <mergeCell ref="D21:D22"/>
    <mergeCell ref="A33:A35"/>
    <mergeCell ref="B15:B17"/>
    <mergeCell ref="A1:E1"/>
    <mergeCell ref="B33:B35"/>
    <mergeCell ref="A23:A25"/>
    <mergeCell ref="D33:D35"/>
    <mergeCell ref="C10:C11"/>
    <mergeCell ref="C23:C25"/>
    <mergeCell ref="A36:A37"/>
    <mergeCell ref="D36:D37"/>
    <mergeCell ref="A43:C44"/>
    <mergeCell ref="C26:C27"/>
    <mergeCell ref="D18:D20"/>
    <mergeCell ref="B38:B39"/>
    <mergeCell ref="D23:D25"/>
    <mergeCell ref="B21:B22"/>
    <mergeCell ref="C7:C9"/>
    <mergeCell ref="A40:C41"/>
    <mergeCell ref="A26:A27"/>
    <mergeCell ref="A28:A30"/>
    <mergeCell ref="C21:C22"/>
    <mergeCell ref="C28:C30"/>
    <mergeCell ref="A15:A17"/>
    <mergeCell ref="B7:B9"/>
    <mergeCell ref="C31:C32"/>
    <mergeCell ref="C33:C35"/>
    <mergeCell ref="B10:B11"/>
    <mergeCell ref="C36:C37"/>
    <mergeCell ref="E40:E41"/>
    <mergeCell ref="C18:C20"/>
    <mergeCell ref="A21:A22"/>
    <mergeCell ref="A3:E3"/>
    <mergeCell ref="C15:C17"/>
    <mergeCell ref="A2:E2"/>
    <mergeCell ref="B36:B37"/>
    <mergeCell ref="B12:B14"/>
    <mergeCell ref="A10:A11"/>
    <mergeCell ref="B5:B6"/>
    <mergeCell ref="B18:B20"/>
    <mergeCell ref="D5:D6"/>
    <mergeCell ref="B23:B25"/>
    <mergeCell ref="A4:E4"/>
    <mergeCell ref="A7:A9"/>
    <mergeCell ref="D10:D11"/>
    <mergeCell ref="A38:A39"/>
    <mergeCell ref="C38:C39"/>
    <mergeCell ref="B31:B32"/>
    <mergeCell ref="D26:D27"/>
    <mergeCell ref="D38:D39"/>
    <mergeCell ref="D31:D32"/>
    <mergeCell ref="D7:D9"/>
    <mergeCell ref="C5:C6"/>
    <mergeCell ref="A31:A32"/>
    <mergeCell ref="B26:B27"/>
    <mergeCell ref="B28:B30"/>
    <mergeCell ref="A18:A20"/>
    <mergeCell ref="D28:D30"/>
    <mergeCell ref="D40:D41"/>
  </mergeCells>
  <dataValidations count="13">
    <dataValidation sqref="C7:C9" showDropDown="0" showInputMessage="1" showErrorMessage="1" allowBlank="1" type="list">
      <formula1>$G$7:$G$9</formula1>
    </dataValidation>
    <dataValidation sqref="C10:C11" showDropDown="0" showInputMessage="1" showErrorMessage="1" allowBlank="1" type="list">
      <formula1>$G$10:$G$11</formula1>
    </dataValidation>
    <dataValidation sqref="C12:C14" showDropDown="0" showInputMessage="1" showErrorMessage="1" allowBlank="1" type="list">
      <formula1>$G$12:$G$14</formula1>
    </dataValidation>
    <dataValidation sqref="C15:C17" showDropDown="0" showInputMessage="1" showErrorMessage="1" allowBlank="1" type="list">
      <formula1>$G$15:$G$17</formula1>
    </dataValidation>
    <dataValidation sqref="C18:C20" showDropDown="0" showInputMessage="1" showErrorMessage="1" allowBlank="1" type="list">
      <formula1>$G$18:$G$20</formula1>
    </dataValidation>
    <dataValidation sqref="C21:C22" showDropDown="0" showInputMessage="1" showErrorMessage="1" allowBlank="1" type="list">
      <formula1>$G$21:$G$22</formula1>
    </dataValidation>
    <dataValidation sqref="C23:C25" showDropDown="0" showInputMessage="1" showErrorMessage="1" allowBlank="1" type="list">
      <formula1>$G$23:$G$25</formula1>
    </dataValidation>
    <dataValidation sqref="C26:C27" showDropDown="0" showInputMessage="1" showErrorMessage="1" allowBlank="1" type="list">
      <formula1>$G$26:$G$27</formula1>
    </dataValidation>
    <dataValidation sqref="C28:C30" showDropDown="0" showInputMessage="1" showErrorMessage="1" allowBlank="1" type="list">
      <formula1>$G$28:$G$30</formula1>
    </dataValidation>
    <dataValidation sqref="C31:C32" showDropDown="0" showInputMessage="1" showErrorMessage="1" allowBlank="1" type="list">
      <formula1>$G$31:$G$32</formula1>
    </dataValidation>
    <dataValidation sqref="C33:C35" showDropDown="0" showInputMessage="1" showErrorMessage="1" allowBlank="1" type="list">
      <formula1>$G$33:$G$35</formula1>
    </dataValidation>
    <dataValidation sqref="C36:C37" showDropDown="0" showInputMessage="1" showErrorMessage="1" allowBlank="1" type="list">
      <formula1>$G$36:$G$37</formula1>
    </dataValidation>
    <dataValidation sqref="C38:C39" showDropDown="0" showInputMessage="1" showErrorMessage="1" allowBlank="1" type="list">
      <formula1>$G$38:$G$39</formula1>
    </dataValidation>
  </dataValidation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.6" customWidth="1" min="1" max="1"/>
    <col width="34.1" customWidth="1" min="2" max="2"/>
    <col width="24.7" customWidth="1" min="3" max="3"/>
    <col width="32" customWidth="1" min="4" max="4"/>
    <col width="25.6" customWidth="1" min="5" max="5"/>
  </cols>
  <sheetData>
    <row r="1" ht="15.75" customHeight="1">
      <c r="A1" s="97" t="n"/>
    </row>
    <row r="2" ht="18.75" customHeight="1">
      <c r="A2" s="97" t="inlineStr">
        <is>
          <t>СВОДНАЯ ВЕДОМОСТЬ</t>
        </is>
      </c>
    </row>
    <row r="3" ht="18.75" customHeight="1">
      <c r="A3" s="97" t="inlineStr">
        <is>
          <t>определения рейтинговой оценки служебной</t>
        </is>
      </c>
    </row>
    <row r="4" ht="18.75" customHeight="1">
      <c r="A4" s="97" t="inlineStr">
        <is>
          <t>деятельности старшин</t>
        </is>
      </c>
    </row>
    <row r="5" ht="18.75" customHeight="1">
      <c r="A5" s="97" t="inlineStr">
        <is>
          <t>факультета №4</t>
        </is>
      </c>
    </row>
    <row r="6">
      <c r="A6" s="97" t="inlineStr">
        <is>
          <t>(подразделение)</t>
        </is>
      </c>
    </row>
    <row r="7" ht="16.5" customHeight="1"/>
    <row r="8" ht="18.75" customHeight="1">
      <c r="A8" s="98" t="inlineStr">
        <is>
          <t>№</t>
        </is>
      </c>
      <c r="B8" s="98" t="inlineStr">
        <is>
          <t>Должность</t>
        </is>
      </c>
      <c r="C8" s="98" t="inlineStr">
        <is>
          <t>Воинское звание</t>
        </is>
      </c>
      <c r="D8" s="98" t="inlineStr">
        <is>
          <t>Фамилия, имя, отчество</t>
        </is>
      </c>
      <c r="E8" s="98" t="inlineStr">
        <is>
          <t>Количество баллов</t>
        </is>
      </c>
      <c r="F8" s="98" t="inlineStr">
        <is>
          <t>Общее место</t>
        </is>
      </c>
    </row>
    <row r="9" ht="19.5" customHeight="1">
      <c r="A9" s="98" t="inlineStr">
        <is>
          <t>п/п</t>
        </is>
      </c>
      <c r="B9" s="98" t="n"/>
      <c r="C9" s="98" t="n"/>
      <c r="D9" s="98" t="n"/>
      <c r="E9" s="98" t="n"/>
      <c r="F9" s="98" t="n"/>
    </row>
    <row r="10" ht="38.25" customHeight="1">
      <c r="A10" s="99" t="n">
        <v>1</v>
      </c>
      <c r="B10" s="99" t="inlineStr">
        <is>
          <t>старшина 41 курса</t>
        </is>
      </c>
      <c r="C10" s="99" t="inlineStr">
        <is>
          <t>сержант</t>
        </is>
      </c>
      <c r="D10" s="99" t="inlineStr">
        <is>
          <t>Шуплецов 
Евгений Андреевич</t>
        </is>
      </c>
      <c r="E10" s="99">
        <f>'СТ-41'!$D$46</f>
        <v/>
      </c>
      <c r="F10" s="99">
        <f>_xlfn.RANK.EQ(E10,$E$10:$E$14, 0)</f>
        <v/>
      </c>
    </row>
    <row r="11" ht="38.25" customHeight="1">
      <c r="A11" s="99" t="n">
        <v>2</v>
      </c>
      <c r="B11" s="99" t="inlineStr">
        <is>
          <t>и.о. старшины 42 курса</t>
        </is>
      </c>
      <c r="C11" s="99" t="inlineStr">
        <is>
          <t>младший сержант</t>
        </is>
      </c>
      <c r="D11" s="99" t="inlineStr">
        <is>
          <t>Корнаков 
Кирилл Максимович</t>
        </is>
      </c>
      <c r="E11" s="99">
        <f>'СТ-42'!$D$46</f>
        <v/>
      </c>
      <c r="F11" s="99">
        <f>_xlfn.RANK.EQ(E11,$E$10:$E$14, 0)</f>
        <v/>
      </c>
    </row>
    <row r="12" ht="38.25" customHeight="1">
      <c r="A12" s="99" t="n">
        <v>3</v>
      </c>
      <c r="B12" s="99" t="inlineStr">
        <is>
          <t>и.о. старшины 43 курса</t>
        </is>
      </c>
      <c r="C12" s="99" t="inlineStr">
        <is>
          <t>сержант</t>
        </is>
      </c>
      <c r="D12" s="99" t="inlineStr">
        <is>
          <t>Фомин 
Борислав Алексеевич</t>
        </is>
      </c>
      <c r="E12" s="99">
        <f>'СТ-43'!$D$46</f>
        <v/>
      </c>
      <c r="F12" s="99">
        <f>_xlfn.RANK.EQ(E12,$E$10:$E$14, 0)</f>
        <v/>
      </c>
    </row>
    <row r="13" ht="38.25" customHeight="1">
      <c r="A13" s="99" t="n">
        <v>4</v>
      </c>
      <c r="B13" s="99" t="inlineStr">
        <is>
          <t>и.о. старшины 44 курса</t>
        </is>
      </c>
      <c r="C13" s="99" t="inlineStr">
        <is>
          <t>сержант</t>
        </is>
      </c>
      <c r="D13" s="99" t="inlineStr">
        <is>
          <t>Новиков 
Максим Александрович</t>
        </is>
      </c>
      <c r="E13" s="99">
        <f>'СТ-44'!$D$46</f>
        <v/>
      </c>
      <c r="F13" s="99">
        <f>_xlfn.RANK.EQ(E13,$E$10:$E$14, 0)</f>
        <v/>
      </c>
    </row>
    <row r="14" ht="38.25" customHeight="1">
      <c r="A14" s="99" t="n">
        <v>5</v>
      </c>
      <c r="B14" s="99" t="inlineStr">
        <is>
          <t>и.о. старшины 45 курса</t>
        </is>
      </c>
      <c r="C14" s="99" t="inlineStr">
        <is>
          <t>старший сержант</t>
        </is>
      </c>
      <c r="D14" s="99" t="inlineStr">
        <is>
          <t>Олейников 
Никита Дмитриевич</t>
        </is>
      </c>
      <c r="E14" s="99">
        <f>'СТ-45'!$D$46</f>
        <v/>
      </c>
      <c r="F14" s="99">
        <f>_xlfn.RANK.EQ(E14,$E$10:$E$14, 0)</f>
        <v/>
      </c>
    </row>
    <row r="15" ht="18.75" customHeight="1">
      <c r="A15" s="100" t="inlineStr">
        <is>
          <t>Начальник факультета №4</t>
        </is>
      </c>
      <c r="B15" s="101" t="n"/>
      <c r="C15" s="101" t="n"/>
      <c r="D15" s="101" t="n"/>
      <c r="E15" s="101" t="n"/>
      <c r="F15" s="101" t="n"/>
    </row>
    <row r="16" ht="18.75" customHeight="1">
      <c r="A16" s="102" t="inlineStr">
        <is>
          <t>полковник                              Д.Калинин</t>
        </is>
      </c>
    </row>
    <row r="17" ht="18.75" customHeight="1">
      <c r="A17" s="102" t="inlineStr">
        <is>
          <t>"    " октября 2026 г.</t>
        </is>
      </c>
    </row>
  </sheetData>
  <mergeCells count="14">
    <mergeCell ref="A2:F2"/>
    <mergeCell ref="A16:F16"/>
    <mergeCell ref="E8:E9"/>
    <mergeCell ref="C8:C9"/>
    <mergeCell ref="F8:F9"/>
    <mergeCell ref="A1:F1"/>
    <mergeCell ref="A5:F5"/>
    <mergeCell ref="D8:D9"/>
    <mergeCell ref="A6:F6"/>
    <mergeCell ref="B8:B9"/>
    <mergeCell ref="A17:F17"/>
    <mergeCell ref="A4:F4"/>
    <mergeCell ref="A3:F3"/>
    <mergeCell ref="A15:F15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.3" customWidth="1" min="1" max="1"/>
    <col width="34" customWidth="1" min="2" max="2"/>
    <col width="23.1" customWidth="1" min="3" max="3"/>
    <col width="32.7" customWidth="1" min="4" max="4"/>
    <col width="22.9" customWidth="1" min="5" max="5"/>
    <col width="34" customWidth="1" min="6" max="6"/>
  </cols>
  <sheetData>
    <row r="1" ht="15.75" customHeight="1">
      <c r="A1" s="97" t="n"/>
    </row>
    <row r="2" ht="18.75" customHeight="1">
      <c r="A2" s="97" t="inlineStr">
        <is>
          <t>СВОДНАЯ ВЕДОМОСТЬ</t>
        </is>
      </c>
    </row>
    <row r="3" ht="18.75" customHeight="1">
      <c r="A3" s="97" t="inlineStr">
        <is>
          <t>определения рейтинговой оценки служебной</t>
        </is>
      </c>
    </row>
    <row r="4" ht="18.75" customHeight="1">
      <c r="A4" s="97" t="inlineStr">
        <is>
          <t>деятельности заместителей командиров взводов</t>
        </is>
      </c>
    </row>
    <row r="5" ht="18.75" customHeight="1">
      <c r="A5" s="97" t="inlineStr">
        <is>
          <t>факультета №4</t>
        </is>
      </c>
    </row>
    <row r="6">
      <c r="A6" s="97" t="inlineStr">
        <is>
          <t>(подразделение)</t>
        </is>
      </c>
    </row>
    <row r="7" ht="16.5" customHeight="1"/>
    <row r="8" ht="18.75" customHeight="1">
      <c r="A8" s="98" t="inlineStr">
        <is>
          <t>№</t>
        </is>
      </c>
      <c r="B8" s="98" t="inlineStr">
        <is>
          <t>Должность</t>
        </is>
      </c>
      <c r="C8" s="98" t="inlineStr">
        <is>
          <t>Воинское звание</t>
        </is>
      </c>
      <c r="D8" s="98" t="inlineStr">
        <is>
          <t>Фамилия, имя, отчество</t>
        </is>
      </c>
      <c r="E8" s="98" t="inlineStr">
        <is>
          <t>Количество баллов</t>
        </is>
      </c>
      <c r="F8" s="98" t="inlineStr">
        <is>
          <t>Общее место</t>
        </is>
      </c>
    </row>
    <row r="9" ht="19.5" customHeight="1">
      <c r="A9" s="98" t="inlineStr">
        <is>
          <t>п/п</t>
        </is>
      </c>
      <c r="B9" s="98" t="n"/>
      <c r="C9" s="98" t="n"/>
      <c r="D9" s="98" t="n"/>
      <c r="E9" s="98" t="n"/>
      <c r="F9" s="98" t="n"/>
    </row>
    <row r="10" ht="38.25" customHeight="1">
      <c r="A10" s="99" t="n">
        <v>1</v>
      </c>
      <c r="B10" s="99" t="inlineStr">
        <is>
          <t>заместитель командира взвода 411 учебной группы</t>
        </is>
      </c>
      <c r="C10" s="99" t="inlineStr">
        <is>
          <t>сержант</t>
        </is>
      </c>
      <c r="D10" s="99" t="inlineStr">
        <is>
          <t>Бойцов 
Владимир Юрьевич</t>
        </is>
      </c>
      <c r="E10" s="99">
        <f>'ЗКВ-411'!$D$51</f>
        <v/>
      </c>
      <c r="F10" s="99">
        <f>_xlfn.RANK.EQ(E10,$E$10:$E$29, 0)</f>
        <v/>
      </c>
    </row>
    <row r="11" ht="38.25" customHeight="1">
      <c r="A11" s="99" t="n">
        <v>2</v>
      </c>
      <c r="B11" s="99" t="inlineStr">
        <is>
          <t>заместитель командира взвода 412 учебной группы</t>
        </is>
      </c>
      <c r="C11" s="99" t="inlineStr">
        <is>
          <t>сержант</t>
        </is>
      </c>
      <c r="D11" s="99" t="inlineStr">
        <is>
          <t>Дворянов 
Дмитрий Андреевич</t>
        </is>
      </c>
      <c r="E11" s="99">
        <f>'ЗКВ-412'!$D$51</f>
        <v/>
      </c>
      <c r="F11" s="99">
        <f>_xlfn.RANK.EQ(E11,$E$10:$E$29, 0)</f>
        <v/>
      </c>
    </row>
    <row r="12" ht="38.25" customHeight="1">
      <c r="A12" s="99" t="n">
        <v>3</v>
      </c>
      <c r="B12" s="99" t="inlineStr">
        <is>
          <t>заместитель командира взвода 413 учебной группы</t>
        </is>
      </c>
      <c r="C12" s="99" t="inlineStr">
        <is>
          <t>рядовой</t>
        </is>
      </c>
      <c r="D12" s="99" t="inlineStr">
        <is>
          <t>Иванов 
Глеб Владимирович</t>
        </is>
      </c>
      <c r="E12" s="99">
        <f>'ЗКВ-413'!$D$51</f>
        <v/>
      </c>
      <c r="F12" s="99">
        <f>_xlfn.RANK.EQ(E12,$E$10:$E$29, 0)</f>
        <v/>
      </c>
    </row>
    <row r="13" ht="38.25" customHeight="1">
      <c r="A13" s="99" t="n">
        <v>4</v>
      </c>
      <c r="B13" s="99" t="inlineStr">
        <is>
          <t>заместитель командира взвода 414 учебной группы</t>
        </is>
      </c>
      <c r="C13" s="99" t="inlineStr">
        <is>
          <t>младший сержант</t>
        </is>
      </c>
      <c r="D13" s="99" t="inlineStr">
        <is>
          <t>Трошин 
Кирилл Александрович</t>
        </is>
      </c>
      <c r="E13" s="99">
        <f>'ЗКВ-414'!$D$51</f>
        <v/>
      </c>
      <c r="F13" s="99">
        <f>_xlfn.RANK.EQ(E13,$E$10:$E$29, 0)</f>
        <v/>
      </c>
    </row>
    <row r="14" ht="38.25" customHeight="1">
      <c r="A14" s="99" t="n">
        <v>5</v>
      </c>
      <c r="B14" s="99" t="inlineStr">
        <is>
          <t>заместитель командира взвода 421 учебной группы</t>
        </is>
      </c>
      <c r="C14" s="99" t="inlineStr">
        <is>
          <t>младший сержант</t>
        </is>
      </c>
      <c r="D14" s="99" t="inlineStr">
        <is>
          <t>Корнаков 
Кирилл Максимович</t>
        </is>
      </c>
      <c r="E14" s="99">
        <f>'ЗКВ-421'!$D$51</f>
        <v/>
      </c>
      <c r="F14" s="99">
        <f>_xlfn.RANK.EQ(E14,$E$10:$E$29, 0)</f>
        <v/>
      </c>
    </row>
    <row r="15" ht="38.25" customHeight="1">
      <c r="A15" s="99" t="n">
        <v>6</v>
      </c>
      <c r="B15" s="99" t="inlineStr">
        <is>
          <t>заместитель командира взвода 422 учебной группы</t>
        </is>
      </c>
      <c r="C15" s="99" t="inlineStr">
        <is>
          <t>младший сержант</t>
        </is>
      </c>
      <c r="D15" s="99" t="inlineStr">
        <is>
          <t>Перов 
Вадим Дмитриевич</t>
        </is>
      </c>
      <c r="E15" s="99">
        <f>'ЗКВ-422'!$D$51</f>
        <v/>
      </c>
      <c r="F15" s="99">
        <f>_xlfn.RANK.EQ(E15,$E$10:$E$29, 0)</f>
        <v/>
      </c>
    </row>
    <row r="16" ht="38.25" customHeight="1">
      <c r="A16" s="99" t="n">
        <v>7</v>
      </c>
      <c r="B16" s="99" t="inlineStr">
        <is>
          <t>заместитель командира взвода 423 учебной группы</t>
        </is>
      </c>
      <c r="C16" s="99" t="inlineStr">
        <is>
          <t>младший сержант</t>
        </is>
      </c>
      <c r="D16" s="99" t="inlineStr">
        <is>
          <t>Сапожников 
Максим Ярославович</t>
        </is>
      </c>
      <c r="E16" s="99">
        <f>'ЗКВ-423'!$D$51</f>
        <v/>
      </c>
      <c r="F16" s="99">
        <f>_xlfn.RANK.EQ(E16,$E$10:$E$29, 0)</f>
        <v/>
      </c>
    </row>
    <row r="17" ht="38.25" customHeight="1">
      <c r="A17" s="99" t="n">
        <v>8</v>
      </c>
      <c r="B17" s="99" t="inlineStr">
        <is>
          <t>заместитель командира взвода 424 учебной группы</t>
        </is>
      </c>
      <c r="C17" s="99" t="inlineStr">
        <is>
          <t>сержант</t>
        </is>
      </c>
      <c r="D17" s="99" t="inlineStr">
        <is>
          <t>Костромыкин 
Александр Вячеславович</t>
        </is>
      </c>
      <c r="E17" s="99">
        <f>'ЗКВ-424'!$D$51</f>
        <v/>
      </c>
      <c r="F17" s="99">
        <f>_xlfn.RANK.EQ(E17,$E$10:$E$29, 0)</f>
        <v/>
      </c>
    </row>
    <row r="18" ht="38.25" customHeight="1">
      <c r="A18" s="99" t="n">
        <v>9</v>
      </c>
      <c r="B18" s="99" t="inlineStr">
        <is>
          <t>заместитель командира взвода 431 учебной группы</t>
        </is>
      </c>
      <c r="C18" s="99" t="inlineStr">
        <is>
          <t>сержант</t>
        </is>
      </c>
      <c r="D18" s="99" t="inlineStr">
        <is>
          <t>Фомин 
Борислав Алексеевич</t>
        </is>
      </c>
      <c r="E18" s="99">
        <f>'ЗКВ-431'!$D$51</f>
        <v/>
      </c>
      <c r="F18" s="99">
        <f>_xlfn.RANK.EQ(E18,$E$10:$E$29, 0)</f>
        <v/>
      </c>
    </row>
    <row r="19" ht="38.25" customHeight="1">
      <c r="A19" s="99" t="n">
        <v>10</v>
      </c>
      <c r="B19" s="99" t="inlineStr">
        <is>
          <t>заместитель командира взвода 432 учебной группы</t>
        </is>
      </c>
      <c r="C19" s="99" t="inlineStr">
        <is>
          <t>младший сержант</t>
        </is>
      </c>
      <c r="D19" s="99" t="inlineStr">
        <is>
          <t>Носков 
Анатолий Олегович</t>
        </is>
      </c>
      <c r="E19" s="99">
        <f>'ЗКВ-432'!$D$51</f>
        <v/>
      </c>
      <c r="F19" s="99">
        <f>_xlfn.RANK.EQ(E19,$E$10:$E$29, 0)</f>
        <v/>
      </c>
    </row>
    <row r="20" ht="38.25" customHeight="1">
      <c r="A20" s="99" t="n">
        <v>11</v>
      </c>
      <c r="B20" s="99" t="inlineStr">
        <is>
          <t>заместитель командира взвода 433 учебной группы</t>
        </is>
      </c>
      <c r="C20" s="99" t="inlineStr">
        <is>
          <t>младший сержант</t>
        </is>
      </c>
      <c r="D20" s="99" t="inlineStr">
        <is>
          <t>Васильев 
Данила Сергеевич</t>
        </is>
      </c>
      <c r="E20" s="99">
        <f>'ЗКВ-433'!$D$51</f>
        <v/>
      </c>
      <c r="F20" s="99">
        <f>_xlfn.RANK.EQ(E20,$E$10:$E$29, 0)</f>
        <v/>
      </c>
    </row>
    <row r="21" ht="38.25" customHeight="1">
      <c r="A21" s="99" t="n">
        <v>12</v>
      </c>
      <c r="B21" s="99" t="inlineStr">
        <is>
          <t>заместитель командира взвода 434 учебной группы</t>
        </is>
      </c>
      <c r="C21" s="99" t="inlineStr">
        <is>
          <t>сержант</t>
        </is>
      </c>
      <c r="D21" s="99" t="inlineStr">
        <is>
          <t>Руськин 
Артем Игоревич</t>
        </is>
      </c>
      <c r="E21" s="99">
        <f>'ЗКВ-434'!$D$51</f>
        <v/>
      </c>
      <c r="F21" s="99">
        <f>_xlfn.RANK.EQ(E21,$E$10:$E$29, 0)</f>
        <v/>
      </c>
    </row>
    <row r="22" ht="38.25" customHeight="1">
      <c r="A22" s="99" t="n">
        <v>13</v>
      </c>
      <c r="B22" s="99" t="inlineStr">
        <is>
          <t>заместитель командира взвода 441 учебной группы</t>
        </is>
      </c>
      <c r="C22" s="99" t="inlineStr">
        <is>
          <t>сержант</t>
        </is>
      </c>
      <c r="D22" s="99" t="inlineStr">
        <is>
          <t>Новиков 
Максим Александрович</t>
        </is>
      </c>
      <c r="E22" s="99">
        <f>'ЗКВ-441'!$D$51</f>
        <v/>
      </c>
      <c r="F22" s="99">
        <f>_xlfn.RANK.EQ(E22,$E$10:$E$29, 0)</f>
        <v/>
      </c>
    </row>
    <row r="23" ht="38.25" customHeight="1">
      <c r="A23" s="99" t="n">
        <v>14</v>
      </c>
      <c r="B23" s="99" t="inlineStr">
        <is>
          <t>заместитель командира взвода 442 учебной группы</t>
        </is>
      </c>
      <c r="C23" s="99" t="inlineStr">
        <is>
          <t>сержант</t>
        </is>
      </c>
      <c r="D23" s="99" t="inlineStr">
        <is>
          <t>Гераськин 
Вячеслав Валерьевич</t>
        </is>
      </c>
      <c r="E23" s="99">
        <f>'ЗКВ-442'!$D$51</f>
        <v/>
      </c>
      <c r="F23" s="99">
        <f>_xlfn.RANK.EQ(E23,$E$10:$E$29, 0)</f>
        <v/>
      </c>
    </row>
    <row r="24" ht="38.25" customHeight="1">
      <c r="A24" s="99" t="n">
        <v>15</v>
      </c>
      <c r="B24" s="99" t="inlineStr">
        <is>
          <t>заместитель командира взвода 443 учебной группы</t>
        </is>
      </c>
      <c r="C24" s="99" t="inlineStr">
        <is>
          <t>сержант</t>
        </is>
      </c>
      <c r="D24" s="99" t="inlineStr">
        <is>
          <t>Ковалев 
Владислав Александрович</t>
        </is>
      </c>
      <c r="E24" s="99">
        <f>'ЗКВ-443'!$D$51</f>
        <v/>
      </c>
      <c r="F24" s="99">
        <f>_xlfn.RANK.EQ(E24,$E$10:$E$29, 0)</f>
        <v/>
      </c>
    </row>
    <row r="25" ht="38.25" customHeight="1">
      <c r="A25" s="99" t="n">
        <v>16</v>
      </c>
      <c r="B25" s="99" t="inlineStr">
        <is>
          <t>заместитель командира взвода 444 учебной группы</t>
        </is>
      </c>
      <c r="C25" s="99" t="inlineStr">
        <is>
          <t>сержант</t>
        </is>
      </c>
      <c r="D25" s="99" t="inlineStr">
        <is>
          <t>Захаров 
Павел Сергеевич</t>
        </is>
      </c>
      <c r="E25" s="99">
        <f>'ЗКВ-444'!$D$51</f>
        <v/>
      </c>
      <c r="F25" s="99">
        <f>_xlfn.RANK.EQ(E25,$E$10:$E$29, 0)</f>
        <v/>
      </c>
    </row>
    <row r="26" ht="38.25" customHeight="1">
      <c r="A26" s="99" t="n">
        <v>17</v>
      </c>
      <c r="B26" s="99" t="inlineStr">
        <is>
          <t>заместитель командира взвода 451 учебной группы</t>
        </is>
      </c>
      <c r="C26" s="99" t="inlineStr">
        <is>
          <t>старший сержант</t>
        </is>
      </c>
      <c r="D26" s="99" t="inlineStr">
        <is>
          <t>Заика 
Матвей Максимович</t>
        </is>
      </c>
      <c r="E26" s="99">
        <f>'ЗКВ-451'!$D$51</f>
        <v/>
      </c>
      <c r="F26" s="99">
        <f>_xlfn.RANK.EQ(E26,$E$10:$E$29, 0)</f>
        <v/>
      </c>
    </row>
    <row r="27" ht="38.25" customHeight="1">
      <c r="A27" s="99" t="n">
        <v>18</v>
      </c>
      <c r="B27" s="99" t="inlineStr">
        <is>
          <t>заместитель командира взвода 452 учебной группы</t>
        </is>
      </c>
      <c r="C27" s="99" t="inlineStr">
        <is>
          <t>старший сержант</t>
        </is>
      </c>
      <c r="D27" s="99" t="inlineStr">
        <is>
          <t>Олейников 
Никита Дмитриевич</t>
        </is>
      </c>
      <c r="E27" s="99">
        <f>'ЗКВ-452'!$D$51</f>
        <v/>
      </c>
      <c r="F27" s="99">
        <f>_xlfn.RANK.EQ(E27,$E$10:$E$29, 0)</f>
        <v/>
      </c>
    </row>
    <row r="28" ht="38.25" customHeight="1">
      <c r="A28" s="99" t="n">
        <v>19</v>
      </c>
      <c r="B28" s="99" t="inlineStr">
        <is>
          <t>заместитель командира взвода 453 учебной группы</t>
        </is>
      </c>
      <c r="C28" s="99" t="inlineStr">
        <is>
          <t>старший сержант</t>
        </is>
      </c>
      <c r="D28" s="99" t="inlineStr">
        <is>
          <t>Кузнецов 
Сергей Николаевич</t>
        </is>
      </c>
      <c r="E28" s="99">
        <f>'ЗКВ-453'!$D$51</f>
        <v/>
      </c>
      <c r="F28" s="99">
        <f>_xlfn.RANK.EQ(E28,$E$10:$E$29, 0)</f>
        <v/>
      </c>
    </row>
    <row r="29" ht="38.25" customHeight="1">
      <c r="A29" s="99" t="n">
        <v>20</v>
      </c>
      <c r="B29" s="99" t="inlineStr">
        <is>
          <t>заместитель командира взвода 454 учебной группы</t>
        </is>
      </c>
      <c r="C29" s="99" t="inlineStr">
        <is>
          <t>старший сержант</t>
        </is>
      </c>
      <c r="D29" s="99" t="inlineStr">
        <is>
          <t>Донгак 
Чамыян Монге-Доржуевич</t>
        </is>
      </c>
      <c r="E29" s="99">
        <f>'ЗКВ-454'!$D$51</f>
        <v/>
      </c>
      <c r="F29" s="99">
        <f>_xlfn.RANK.EQ(E29,$E$10:$E$29, 0)</f>
        <v/>
      </c>
    </row>
    <row r="30" ht="18.75" customHeight="1">
      <c r="A30" s="100" t="inlineStr">
        <is>
          <t>Начальник факультета №4</t>
        </is>
      </c>
      <c r="B30" s="101" t="n"/>
      <c r="C30" s="101" t="n"/>
      <c r="D30" s="101" t="n"/>
      <c r="E30" s="101" t="n"/>
      <c r="F30" s="101" t="n"/>
    </row>
    <row r="31" ht="18.75" customHeight="1">
      <c r="A31" s="102" t="inlineStr">
        <is>
          <t>полковник                              Д.Калинин</t>
        </is>
      </c>
    </row>
    <row r="32" ht="18.75" customHeight="1">
      <c r="A32" s="102" t="inlineStr">
        <is>
          <t>"    " октября 2026 г.</t>
        </is>
      </c>
    </row>
  </sheetData>
  <mergeCells count="14">
    <mergeCell ref="A2:F2"/>
    <mergeCell ref="E8:E9"/>
    <mergeCell ref="C8:C9"/>
    <mergeCell ref="F8:F9"/>
    <mergeCell ref="A1:F1"/>
    <mergeCell ref="A5:F5"/>
    <mergeCell ref="A32:F32"/>
    <mergeCell ref="A31:F31"/>
    <mergeCell ref="D8:D9"/>
    <mergeCell ref="A6:F6"/>
    <mergeCell ref="B8:B9"/>
    <mergeCell ref="A4:F4"/>
    <mergeCell ref="A3:F3"/>
    <mergeCell ref="A30:F30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6.3" customWidth="1" min="1" max="1"/>
    <col width="34" customWidth="1" min="2" max="2"/>
    <col width="23.1" customWidth="1" min="3" max="3"/>
    <col width="32.7" customWidth="1" min="4" max="4"/>
    <col width="22.9" customWidth="1" min="5" max="5"/>
    <col width="34" customWidth="1" min="6" max="6"/>
  </cols>
  <sheetData>
    <row r="1" ht="15.75" customHeight="1">
      <c r="A1" s="97" t="n"/>
    </row>
    <row r="2" ht="18.75" customHeight="1">
      <c r="A2" s="97" t="inlineStr">
        <is>
          <t>СВОДНАЯ ВЕДОМОСТЬ</t>
        </is>
      </c>
    </row>
    <row r="3" ht="18.75" customHeight="1">
      <c r="A3" s="97" t="inlineStr">
        <is>
          <t>определения рейтинговой оценки служебной</t>
        </is>
      </c>
    </row>
    <row r="4" ht="18.75" customHeight="1">
      <c r="A4" s="97" t="inlineStr">
        <is>
          <t>деятельности командиров отделений</t>
        </is>
      </c>
    </row>
    <row r="5" ht="18.75" customHeight="1">
      <c r="A5" s="97" t="inlineStr">
        <is>
          <t>факультета №4</t>
        </is>
      </c>
    </row>
    <row r="6">
      <c r="A6" s="97" t="inlineStr">
        <is>
          <t>(подразделение)</t>
        </is>
      </c>
    </row>
    <row r="7" ht="16.5" customHeight="1"/>
    <row r="8" ht="18.75" customHeight="1">
      <c r="A8" s="98" t="inlineStr">
        <is>
          <t>№</t>
        </is>
      </c>
      <c r="B8" s="98" t="inlineStr">
        <is>
          <t>Должность</t>
        </is>
      </c>
      <c r="C8" s="98" t="inlineStr">
        <is>
          <t>Воинское звание</t>
        </is>
      </c>
      <c r="D8" s="98" t="inlineStr">
        <is>
          <t>Фамилия, имя, отчество</t>
        </is>
      </c>
      <c r="E8" s="98" t="inlineStr">
        <is>
          <t>Количество баллов</t>
        </is>
      </c>
      <c r="F8" s="98" t="inlineStr">
        <is>
          <t>Общее место</t>
        </is>
      </c>
    </row>
    <row r="9" ht="19.5" customHeight="1">
      <c r="A9" s="98" t="inlineStr">
        <is>
          <t>п/п</t>
        </is>
      </c>
      <c r="B9" s="98" t="n"/>
      <c r="C9" s="98" t="n"/>
      <c r="D9" s="98" t="n"/>
      <c r="E9" s="98" t="n"/>
      <c r="F9" s="98" t="n"/>
    </row>
    <row r="10" ht="38.25" customHeight="1">
      <c r="A10" s="99" t="n">
        <v>1</v>
      </c>
      <c r="B10" s="99" t="inlineStr">
        <is>
          <t>командир 1-ого отделения 411 учебной группы</t>
        </is>
      </c>
      <c r="C10" s="99" t="inlineStr">
        <is>
          <t>сержант</t>
        </is>
      </c>
      <c r="D10" s="99" t="inlineStr">
        <is>
          <t>Романов 
Дмитрий Вячеславович</t>
        </is>
      </c>
      <c r="E10" s="99">
        <f>'КО1-411'!$D$40</f>
        <v/>
      </c>
      <c r="F10" s="99">
        <f>_xlfn.RANK.EQ(E10,$E$10:$E$60, 0)</f>
        <v/>
      </c>
    </row>
    <row r="11" ht="38.25" customHeight="1">
      <c r="A11" s="99" t="n">
        <v>2</v>
      </c>
      <c r="B11" s="99" t="inlineStr">
        <is>
          <t>командир 2-ого отделения 411 учебной группы</t>
        </is>
      </c>
      <c r="C11" s="99" t="inlineStr">
        <is>
          <t>ефрейтор</t>
        </is>
      </c>
      <c r="D11" s="99" t="inlineStr">
        <is>
          <t>Шахов 
Вадим Владимирович</t>
        </is>
      </c>
      <c r="E11" s="99">
        <f>'КО2-411'!$D$40</f>
        <v/>
      </c>
      <c r="F11" s="99">
        <f>_xlfn.RANK.EQ(E11,$E$10:$E$60, 0)</f>
        <v/>
      </c>
    </row>
    <row r="12" ht="38.25" customHeight="1">
      <c r="A12" s="99" t="n">
        <v>3</v>
      </c>
      <c r="B12" s="99" t="inlineStr">
        <is>
          <t>командир 3-ого отделения 411 учебной группы</t>
        </is>
      </c>
      <c r="C12" s="99" t="inlineStr">
        <is>
          <t>рядовой</t>
        </is>
      </c>
      <c r="D12" s="99" t="inlineStr">
        <is>
          <t>Тимофеев 
Дмитрий Александрович</t>
        </is>
      </c>
      <c r="E12" s="99">
        <f>'КО3-411'!$D$40</f>
        <v/>
      </c>
      <c r="F12" s="99">
        <f>_xlfn.RANK.EQ(E12,$E$10:$E$60, 0)</f>
        <v/>
      </c>
    </row>
    <row r="13" ht="38.25" customHeight="1">
      <c r="A13" s="99" t="n">
        <v>4</v>
      </c>
      <c r="B13" s="99" t="inlineStr">
        <is>
          <t>командир 1-ого отделения 412 учебной группы</t>
        </is>
      </c>
      <c r="C13" s="99" t="inlineStr">
        <is>
          <t>младший сержант</t>
        </is>
      </c>
      <c r="D13" s="99" t="inlineStr">
        <is>
          <t>Мещеряков 
Степан Владимирович</t>
        </is>
      </c>
      <c r="E13" s="99">
        <f>'КО1-412'!$D$40</f>
        <v/>
      </c>
      <c r="F13" s="99">
        <f>_xlfn.RANK.EQ(E13,$E$10:$E$60, 0)</f>
        <v/>
      </c>
    </row>
    <row r="14" ht="38.25" customHeight="1">
      <c r="A14" s="99" t="n">
        <v>5</v>
      </c>
      <c r="B14" s="99" t="inlineStr">
        <is>
          <t>командир 2-ого отделения 412 учебной группы</t>
        </is>
      </c>
      <c r="C14" s="99" t="inlineStr">
        <is>
          <t>рядовой</t>
        </is>
      </c>
      <c r="D14" s="99" t="inlineStr">
        <is>
          <t>Шкрядо 
Андрей Сергеевич</t>
        </is>
      </c>
      <c r="E14" s="99">
        <f>'КО2-412'!$D$40</f>
        <v/>
      </c>
      <c r="F14" s="99">
        <f>_xlfn.RANK.EQ(E14,$E$10:$E$60, 0)</f>
        <v/>
      </c>
    </row>
    <row r="15" ht="38.25" customHeight="1">
      <c r="A15" s="99" t="n">
        <v>6</v>
      </c>
      <c r="B15" s="99" t="inlineStr">
        <is>
          <t>командир 3-ого отделения 412 учебной группы</t>
        </is>
      </c>
      <c r="C15" s="99" t="inlineStr">
        <is>
          <t>ефрейтор</t>
        </is>
      </c>
      <c r="D15" s="99" t="inlineStr">
        <is>
          <t>Салямов 
Олег Дмитриевич</t>
        </is>
      </c>
      <c r="E15" s="99">
        <f>'КО3-412'!$D$40</f>
        <v/>
      </c>
      <c r="F15" s="99">
        <f>_xlfn.RANK.EQ(E15,$E$10:$E$60, 0)</f>
        <v/>
      </c>
    </row>
    <row r="16" ht="38.25" customHeight="1">
      <c r="A16" s="99" t="n">
        <v>7</v>
      </c>
      <c r="B16" s="99" t="inlineStr">
        <is>
          <t>командир 1-ого отделения 413 учебной группы</t>
        </is>
      </c>
      <c r="C16" s="99" t="inlineStr">
        <is>
          <t>ефрейтор</t>
        </is>
      </c>
      <c r="D16" s="99" t="inlineStr">
        <is>
          <t>Губин 
Дмитрий Владимирович</t>
        </is>
      </c>
      <c r="E16" s="99">
        <f>'КО1-413'!$D$40</f>
        <v/>
      </c>
      <c r="F16" s="99">
        <f>_xlfn.RANK.EQ(E16,$E$10:$E$60, 0)</f>
        <v/>
      </c>
    </row>
    <row r="17" ht="38.25" customHeight="1">
      <c r="A17" s="99" t="n">
        <v>8</v>
      </c>
      <c r="B17" s="99" t="inlineStr">
        <is>
          <t>командир 2-ого отделения 413 учебной группы</t>
        </is>
      </c>
      <c r="C17" s="99" t="inlineStr">
        <is>
          <t>рядовой</t>
        </is>
      </c>
      <c r="D17" s="99" t="inlineStr">
        <is>
          <t>Жуганин 
Константин Васильевич</t>
        </is>
      </c>
      <c r="E17" s="99">
        <f>'КО2-413'!$D$40</f>
        <v/>
      </c>
      <c r="F17" s="99">
        <f>_xlfn.RANK.EQ(E17,$E$10:$E$60, 0)</f>
        <v/>
      </c>
    </row>
    <row r="18" ht="38.25" customHeight="1">
      <c r="A18" s="99" t="n">
        <v>9</v>
      </c>
      <c r="B18" s="99" t="inlineStr">
        <is>
          <t>командир 3-ого отделения 413 учебной группы</t>
        </is>
      </c>
      <c r="C18" s="99" t="inlineStr">
        <is>
          <t>рядовой</t>
        </is>
      </c>
      <c r="D18" s="99" t="inlineStr">
        <is>
          <t>Александрин 
Лев Николаевич</t>
        </is>
      </c>
      <c r="E18" s="99">
        <f>'КО3-413'!$D$40</f>
        <v/>
      </c>
      <c r="F18" s="99">
        <f>_xlfn.RANK.EQ(E18,$E$10:$E$60, 0)</f>
        <v/>
      </c>
    </row>
    <row r="19" ht="38.25" customHeight="1">
      <c r="A19" s="99" t="n">
        <v>10</v>
      </c>
      <c r="B19" s="99" t="inlineStr">
        <is>
          <t>командир 1-ого отделения 414 учебной группы</t>
        </is>
      </c>
      <c r="C19" s="99" t="inlineStr">
        <is>
          <t>ефрейтор</t>
        </is>
      </c>
      <c r="D19" s="99" t="inlineStr">
        <is>
          <t>Радченко 
Александр Юрьевич</t>
        </is>
      </c>
      <c r="E19" s="99">
        <f>'КО1-414'!$D$40</f>
        <v/>
      </c>
      <c r="F19" s="99">
        <f>_xlfn.RANK.EQ(E19,$E$10:$E$60, 0)</f>
        <v/>
      </c>
    </row>
    <row r="20" ht="38.25" customHeight="1">
      <c r="A20" s="99" t="n">
        <v>11</v>
      </c>
      <c r="B20" s="99" t="inlineStr">
        <is>
          <t>командир 2-ого отделения 414 учебной группы</t>
        </is>
      </c>
      <c r="C20" s="99" t="inlineStr">
        <is>
          <t>рядовой</t>
        </is>
      </c>
      <c r="D20" s="99" t="inlineStr">
        <is>
          <t>Жилин 
Матвей Михайлович</t>
        </is>
      </c>
      <c r="E20" s="99">
        <f>'КО2-414'!$D$40</f>
        <v/>
      </c>
      <c r="F20" s="99">
        <f>_xlfn.RANK.EQ(E20,$E$10:$E$60, 0)</f>
        <v/>
      </c>
    </row>
    <row r="21" ht="38.25" customHeight="1">
      <c r="A21" s="99" t="n">
        <v>12</v>
      </c>
      <c r="B21" s="99" t="inlineStr">
        <is>
          <t>командир 3-ого отделения 414 учебной группы</t>
        </is>
      </c>
      <c r="C21" s="99" t="inlineStr">
        <is>
          <t>ефрейтор</t>
        </is>
      </c>
      <c r="D21" s="99" t="inlineStr">
        <is>
          <t>Семакин 
Кирилл Евгеньевич</t>
        </is>
      </c>
      <c r="E21" s="99">
        <f>'КО3-414'!$D$40</f>
        <v/>
      </c>
      <c r="F21" s="99">
        <f>_xlfn.RANK.EQ(E21,$E$10:$E$60, 0)</f>
        <v/>
      </c>
    </row>
    <row r="22" ht="38.25" customHeight="1">
      <c r="A22" s="99" t="n">
        <v>13</v>
      </c>
      <c r="B22" s="99" t="inlineStr">
        <is>
          <t>командир 1-ого отделения 421 учебной группы</t>
        </is>
      </c>
      <c r="C22" s="99" t="inlineStr">
        <is>
          <t>младший сержант</t>
        </is>
      </c>
      <c r="D22" s="99" t="inlineStr">
        <is>
          <t>Петухов 
Виталий Евгеньевич</t>
        </is>
      </c>
      <c r="E22" s="99">
        <f>'КО1-421'!$D$40</f>
        <v/>
      </c>
      <c r="F22" s="99">
        <f>_xlfn.RANK.EQ(E22,$E$10:$E$60, 0)</f>
        <v/>
      </c>
    </row>
    <row r="23" ht="38.25" customHeight="1">
      <c r="A23" s="99" t="n">
        <v>14</v>
      </c>
      <c r="B23" s="99" t="inlineStr">
        <is>
          <t>командир 2-ого отделения 421 учебной группы</t>
        </is>
      </c>
      <c r="C23" s="99" t="inlineStr">
        <is>
          <t>младший сержант</t>
        </is>
      </c>
      <c r="D23" s="99" t="inlineStr">
        <is>
          <t>Борзов 
Павел Романович</t>
        </is>
      </c>
      <c r="E23" s="99">
        <f>'КО2-421'!$D$40</f>
        <v/>
      </c>
      <c r="F23" s="99">
        <f>_xlfn.RANK.EQ(E23,$E$10:$E$60, 0)</f>
        <v/>
      </c>
    </row>
    <row r="24" ht="38.25" customHeight="1">
      <c r="A24" s="99" t="n">
        <v>15</v>
      </c>
      <c r="B24" s="99" t="inlineStr">
        <is>
          <t>командир 1-ого отделения 422 учебной группы</t>
        </is>
      </c>
      <c r="C24" s="99" t="inlineStr">
        <is>
          <t>младший сержант</t>
        </is>
      </c>
      <c r="D24" s="99" t="inlineStr">
        <is>
          <t>Вармахов 
Ренат Мухамедович</t>
        </is>
      </c>
      <c r="E24" s="99">
        <f>'КО1-422'!$D$40</f>
        <v/>
      </c>
      <c r="F24" s="99">
        <f>_xlfn.RANK.EQ(E24,$E$10:$E$60, 0)</f>
        <v/>
      </c>
    </row>
    <row r="25" ht="38.25" customHeight="1">
      <c r="A25" s="99" t="n">
        <v>16</v>
      </c>
      <c r="B25" s="99" t="inlineStr">
        <is>
          <t>командир 2-ого отделения 422 учебной группы</t>
        </is>
      </c>
      <c r="C25" s="99" t="inlineStr">
        <is>
          <t>младший сержант</t>
        </is>
      </c>
      <c r="D25" s="99" t="inlineStr">
        <is>
          <t>Пименов 
Даниил Геннадьевич</t>
        </is>
      </c>
      <c r="E25" s="99">
        <f>'КО2-422'!$D$40</f>
        <v/>
      </c>
      <c r="F25" s="99">
        <f>_xlfn.RANK.EQ(E25,$E$10:$E$60, 0)</f>
        <v/>
      </c>
    </row>
    <row r="26" ht="38.25" customHeight="1">
      <c r="A26" s="99" t="n">
        <v>17</v>
      </c>
      <c r="B26" s="99" t="inlineStr">
        <is>
          <t>командир 3-ого отделения 422 учебной группы</t>
        </is>
      </c>
      <c r="C26" s="99" t="inlineStr">
        <is>
          <t>ефрейтор</t>
        </is>
      </c>
      <c r="D26" s="99" t="inlineStr">
        <is>
          <t>Федоров 
Сергей Вячеславович</t>
        </is>
      </c>
      <c r="E26" s="99">
        <f>'КО3-422'!$D$40</f>
        <v/>
      </c>
      <c r="F26" s="99">
        <f>_xlfn.RANK.EQ(E26,$E$10:$E$60, 0)</f>
        <v/>
      </c>
    </row>
    <row r="27" ht="38.25" customHeight="1">
      <c r="A27" s="99" t="n">
        <v>18</v>
      </c>
      <c r="B27" s="99" t="inlineStr">
        <is>
          <t>командир 1-ого отделения 423 учебной группы</t>
        </is>
      </c>
      <c r="C27" s="99" t="inlineStr">
        <is>
          <t>младший сержант</t>
        </is>
      </c>
      <c r="D27" s="99" t="inlineStr">
        <is>
          <t>Фокин 
Дмитрий Алексеевич</t>
        </is>
      </c>
      <c r="E27" s="99">
        <f>'КО1-423'!$D$40</f>
        <v/>
      </c>
      <c r="F27" s="99">
        <f>_xlfn.RANK.EQ(E27,$E$10:$E$60, 0)</f>
        <v/>
      </c>
    </row>
    <row r="28" ht="38.25" customHeight="1">
      <c r="A28" s="99" t="n">
        <v>19</v>
      </c>
      <c r="B28" s="99" t="inlineStr">
        <is>
          <t>командир 2-ого отделения 423 учебной группы</t>
        </is>
      </c>
      <c r="C28" s="99" t="inlineStr">
        <is>
          <t>младший сержант</t>
        </is>
      </c>
      <c r="D28" s="99" t="inlineStr">
        <is>
          <t>Кузнецов 
Андрей Сергеевич</t>
        </is>
      </c>
      <c r="E28" s="99">
        <f>'КО2-423'!$D$40</f>
        <v/>
      </c>
      <c r="F28" s="99">
        <f>_xlfn.RANK.EQ(E28,$E$10:$E$60, 0)</f>
        <v/>
      </c>
    </row>
    <row r="29" ht="38.25" customHeight="1">
      <c r="A29" s="99" t="n">
        <v>20</v>
      </c>
      <c r="B29" s="99" t="inlineStr">
        <is>
          <t>командир 1-ого отделения 424 учебной группы</t>
        </is>
      </c>
      <c r="C29" s="99" t="inlineStr">
        <is>
          <t>рядовой</t>
        </is>
      </c>
      <c r="D29" s="99" t="inlineStr">
        <is>
          <t>Нигомедзянов 
Руслан Фаязович</t>
        </is>
      </c>
      <c r="E29" s="99">
        <f>'КО1-424'!$D$40</f>
        <v/>
      </c>
      <c r="F29" s="99">
        <f>_xlfn.RANK.EQ(E29,$E$10:$E$60, 0)</f>
        <v/>
      </c>
    </row>
    <row r="30" ht="38.25" customHeight="1">
      <c r="A30" s="99" t="n">
        <v>21</v>
      </c>
      <c r="B30" s="99" t="inlineStr">
        <is>
          <t>командир 2-ого отделения 424 учебной группы</t>
        </is>
      </c>
      <c r="C30" s="99" t="inlineStr">
        <is>
          <t>рядовой</t>
        </is>
      </c>
      <c r="D30" s="99" t="inlineStr">
        <is>
          <t>Беляев 
Евгений Алексеевич</t>
        </is>
      </c>
      <c r="E30" s="99">
        <f>'КО2-424'!$D$40</f>
        <v/>
      </c>
      <c r="F30" s="99">
        <f>_xlfn.RANK.EQ(E30,$E$10:$E$60, 0)</f>
        <v/>
      </c>
    </row>
    <row r="31" ht="38.25" customHeight="1">
      <c r="A31" s="99" t="n">
        <v>22</v>
      </c>
      <c r="B31" s="99" t="inlineStr">
        <is>
          <t>командир 3-ого отделения 424 учебной группы</t>
        </is>
      </c>
      <c r="C31" s="99" t="inlineStr">
        <is>
          <t>рядовой</t>
        </is>
      </c>
      <c r="D31" s="99" t="inlineStr">
        <is>
          <t>Стаханов 
Егор Алексеевич</t>
        </is>
      </c>
      <c r="E31" s="99">
        <f>'КО3-424'!$D$40</f>
        <v/>
      </c>
      <c r="F31" s="99">
        <f>_xlfn.RANK.EQ(E31,$E$10:$E$60, 0)</f>
        <v/>
      </c>
    </row>
    <row r="32" ht="38.25" customHeight="1">
      <c r="A32" s="99" t="n">
        <v>23</v>
      </c>
      <c r="B32" s="99" t="inlineStr">
        <is>
          <t>командир 1-ого отделения 431 учебной группы</t>
        </is>
      </c>
      <c r="C32" s="99" t="inlineStr">
        <is>
          <t>сержант</t>
        </is>
      </c>
      <c r="D32" s="99" t="inlineStr">
        <is>
          <t>Пасичник 
Ярослав Игоревич</t>
        </is>
      </c>
      <c r="E32" s="99">
        <f>'КО1-431'!$D$40</f>
        <v/>
      </c>
      <c r="F32" s="99">
        <f>_xlfn.RANK.EQ(E32,$E$10:$E$60, 0)</f>
        <v/>
      </c>
    </row>
    <row r="33" ht="38.25" customHeight="1">
      <c r="A33" s="99" t="n">
        <v>24</v>
      </c>
      <c r="B33" s="99" t="inlineStr">
        <is>
          <t>командир 2-ого отделения 431 учебной группы</t>
        </is>
      </c>
      <c r="C33" s="99" t="inlineStr">
        <is>
          <t>младший сержант</t>
        </is>
      </c>
      <c r="D33" s="99" t="inlineStr">
        <is>
          <t>Малик 
Данил Сергеевич</t>
        </is>
      </c>
      <c r="E33" s="99">
        <f>'КО2-431'!$D$40</f>
        <v/>
      </c>
      <c r="F33" s="99">
        <f>_xlfn.RANK.EQ(E33,$E$10:$E$60, 0)</f>
        <v/>
      </c>
    </row>
    <row r="34" ht="38.25" customHeight="1">
      <c r="A34" s="99" t="n">
        <v>25</v>
      </c>
      <c r="B34" s="99" t="inlineStr">
        <is>
          <t>командир 3-ого отделения 431 учебной группы</t>
        </is>
      </c>
      <c r="C34" s="99" t="inlineStr">
        <is>
          <t>младший сержант</t>
        </is>
      </c>
      <c r="D34" s="99" t="inlineStr">
        <is>
          <t>Драгунов 
Игорь Владимирович</t>
        </is>
      </c>
      <c r="E34" s="99">
        <f>'КО3-431'!$D$40</f>
        <v/>
      </c>
      <c r="F34" s="99">
        <f>_xlfn.RANK.EQ(E34,$E$10:$E$60, 0)</f>
        <v/>
      </c>
    </row>
    <row r="35" ht="38.25" customHeight="1">
      <c r="A35" s="99" t="n">
        <v>26</v>
      </c>
      <c r="B35" s="99" t="inlineStr">
        <is>
          <t>командир 1-ого отделения 432 учебной группы</t>
        </is>
      </c>
      <c r="C35" s="99" t="inlineStr">
        <is>
          <t>младший сержант</t>
        </is>
      </c>
      <c r="D35" s="99" t="inlineStr">
        <is>
          <t>Шокин 
Илья Евгеньевич</t>
        </is>
      </c>
      <c r="E35" s="99">
        <f>'КО1-432'!$D$40</f>
        <v/>
      </c>
      <c r="F35" s="99">
        <f>_xlfn.RANK.EQ(E35,$E$10:$E$60, 0)</f>
        <v/>
      </c>
    </row>
    <row r="36" ht="38.25" customHeight="1">
      <c r="A36" s="99" t="n">
        <v>27</v>
      </c>
      <c r="B36" s="99" t="inlineStr">
        <is>
          <t>командир 2-ого отделения 432 учебной группы</t>
        </is>
      </c>
      <c r="C36" s="99" t="inlineStr">
        <is>
          <t>младший сержант</t>
        </is>
      </c>
      <c r="D36" s="99" t="inlineStr">
        <is>
          <t>Падуков 
Игнат Андреевич</t>
        </is>
      </c>
      <c r="E36" s="99">
        <f>'КО2-432'!$D$40</f>
        <v/>
      </c>
      <c r="F36" s="99">
        <f>_xlfn.RANK.EQ(E36,$E$10:$E$60, 0)</f>
        <v/>
      </c>
    </row>
    <row r="37" ht="38.25" customHeight="1">
      <c r="A37" s="99" t="n">
        <v>28</v>
      </c>
      <c r="B37" s="99" t="inlineStr">
        <is>
          <t>командир 1-ого отделения 433 учебной группы</t>
        </is>
      </c>
      <c r="C37" s="99" t="inlineStr">
        <is>
          <t>сержант</t>
        </is>
      </c>
      <c r="D37" s="99" t="inlineStr">
        <is>
          <t>Бойков 
Артем Валерьевич</t>
        </is>
      </c>
      <c r="E37" s="99">
        <f>'КО1-433'!$D$40</f>
        <v/>
      </c>
      <c r="F37" s="99">
        <f>_xlfn.RANK.EQ(E37,$E$10:$E$60, 0)</f>
        <v/>
      </c>
    </row>
    <row r="38" ht="38.25" customHeight="1">
      <c r="A38" s="99" t="n">
        <v>29</v>
      </c>
      <c r="B38" s="99" t="inlineStr">
        <is>
          <t>командир 2-ого отделения 433 учебной группы</t>
        </is>
      </c>
      <c r="C38" s="99" t="inlineStr">
        <is>
          <t>сержант</t>
        </is>
      </c>
      <c r="D38" s="99" t="inlineStr">
        <is>
          <t>Шартдинов 
Эрик Расилевич</t>
        </is>
      </c>
      <c r="E38" s="99">
        <f>'КО2-433'!$D$40</f>
        <v/>
      </c>
      <c r="F38" s="99">
        <f>_xlfn.RANK.EQ(E38,$E$10:$E$60, 0)</f>
        <v/>
      </c>
    </row>
    <row r="39" ht="38.25" customHeight="1">
      <c r="A39" s="99" t="n">
        <v>30</v>
      </c>
      <c r="B39" s="99" t="inlineStr">
        <is>
          <t>командир 3-ого отделения 433 учебной группы</t>
        </is>
      </c>
      <c r="C39" s="99" t="inlineStr">
        <is>
          <t>сержант</t>
        </is>
      </c>
      <c r="D39" s="99" t="inlineStr">
        <is>
          <t>Шумаков 
Илья Вячеславович</t>
        </is>
      </c>
      <c r="E39" s="99">
        <f>'КО3-433'!$D$40</f>
        <v/>
      </c>
      <c r="F39" s="99">
        <f>_xlfn.RANK.EQ(E39,$E$10:$E$60, 0)</f>
        <v/>
      </c>
    </row>
    <row r="40" ht="38.25" customHeight="1">
      <c r="A40" s="99" t="n">
        <v>31</v>
      </c>
      <c r="B40" s="99" t="inlineStr">
        <is>
          <t>командир 1-ого отделения 434 учебной группы</t>
        </is>
      </c>
      <c r="C40" s="99" t="inlineStr">
        <is>
          <t>младший сержант</t>
        </is>
      </c>
      <c r="D40" s="99" t="inlineStr">
        <is>
          <t>Нефедовский 
Арсений Денисович</t>
        </is>
      </c>
      <c r="E40" s="99">
        <f>'КО1-434'!$D$40</f>
        <v/>
      </c>
      <c r="F40" s="99">
        <f>_xlfn.RANK.EQ(E40,$E$10:$E$60, 0)</f>
        <v/>
      </c>
    </row>
    <row r="41" ht="38.25" customHeight="1">
      <c r="A41" s="99" t="n">
        <v>32</v>
      </c>
      <c r="B41" s="99" t="inlineStr">
        <is>
          <t>командир 2-ого отделения 434 учебной группы</t>
        </is>
      </c>
      <c r="C41" s="99" t="inlineStr">
        <is>
          <t>младший сержант</t>
        </is>
      </c>
      <c r="D41" s="99" t="inlineStr">
        <is>
          <t>Кривенко 
Илья Данилович</t>
        </is>
      </c>
      <c r="E41" s="99">
        <f>'КО2-434'!$D$40</f>
        <v/>
      </c>
      <c r="F41" s="99">
        <f>_xlfn.RANK.EQ(E41,$E$10:$E$60, 0)</f>
        <v/>
      </c>
    </row>
    <row r="42" ht="38.25" customHeight="1">
      <c r="A42" s="99" t="n">
        <v>33</v>
      </c>
      <c r="B42" s="99" t="inlineStr">
        <is>
          <t>командир 3-ого отделения 434 учебной группы</t>
        </is>
      </c>
      <c r="C42" s="99" t="inlineStr">
        <is>
          <t>младший сержант</t>
        </is>
      </c>
      <c r="D42" s="99" t="inlineStr">
        <is>
          <t>Барыкин 
Тимофей Игнатьевич</t>
        </is>
      </c>
      <c r="E42" s="99">
        <f>'КО3-434'!$D$40</f>
        <v/>
      </c>
      <c r="F42" s="99">
        <f>_xlfn.RANK.EQ(E42,$E$10:$E$60, 0)</f>
        <v/>
      </c>
    </row>
    <row r="43" ht="38.25" customHeight="1">
      <c r="A43" s="99" t="n">
        <v>34</v>
      </c>
      <c r="B43" s="99" t="inlineStr">
        <is>
          <t>командир 1-ого отделения 441 учебной группы</t>
        </is>
      </c>
      <c r="C43" s="99" t="inlineStr">
        <is>
          <t>сержант</t>
        </is>
      </c>
      <c r="D43" s="99" t="inlineStr">
        <is>
          <t>Буцык 
Роман Евгеньевич</t>
        </is>
      </c>
      <c r="E43" s="99">
        <f>'КО1-441'!$D$40</f>
        <v/>
      </c>
      <c r="F43" s="99">
        <f>_xlfn.RANK.EQ(E43,$E$10:$E$60, 0)</f>
        <v/>
      </c>
    </row>
    <row r="44" ht="38.25" customHeight="1">
      <c r="A44" s="99" t="n">
        <v>35</v>
      </c>
      <c r="B44" s="99" t="inlineStr">
        <is>
          <t>командир 2-ого отделения 441 учебной группы</t>
        </is>
      </c>
      <c r="C44" s="99" t="inlineStr">
        <is>
          <t>сержант</t>
        </is>
      </c>
      <c r="D44" s="99" t="inlineStr">
        <is>
          <t>Ильясов 
Чингиз Ильдарович</t>
        </is>
      </c>
      <c r="E44" s="99">
        <f>'КО2-441'!$D$40</f>
        <v/>
      </c>
      <c r="F44" s="99">
        <f>_xlfn.RANK.EQ(E44,$E$10:$E$60, 0)</f>
        <v/>
      </c>
    </row>
    <row r="45" ht="38.25" customHeight="1">
      <c r="A45" s="99" t="n">
        <v>36</v>
      </c>
      <c r="B45" s="99" t="inlineStr">
        <is>
          <t>командир 1-ого отделения 442 учебной группы</t>
        </is>
      </c>
      <c r="C45" s="99" t="inlineStr">
        <is>
          <t>младший сержант</t>
        </is>
      </c>
      <c r="D45" s="99" t="inlineStr">
        <is>
          <t>Диденко 
Марк Вадимович</t>
        </is>
      </c>
      <c r="E45" s="99">
        <f>'КО1-442'!$D$40</f>
        <v/>
      </c>
      <c r="F45" s="99">
        <f>_xlfn.RANK.EQ(E45,$E$10:$E$60, 0)</f>
        <v/>
      </c>
    </row>
    <row r="46" ht="38.25" customHeight="1">
      <c r="A46" s="99" t="n">
        <v>37</v>
      </c>
      <c r="B46" s="99" t="inlineStr">
        <is>
          <t>командир 2-ого отделения 442 учебной группы</t>
        </is>
      </c>
      <c r="C46" s="99" t="inlineStr">
        <is>
          <t>сержант</t>
        </is>
      </c>
      <c r="D46" s="99" t="inlineStr">
        <is>
          <t>Салахов 
Арсен Альбертович</t>
        </is>
      </c>
      <c r="E46" s="99">
        <f>'КО2-442'!$D$40</f>
        <v/>
      </c>
      <c r="F46" s="99">
        <f>_xlfn.RANK.EQ(E46,$E$10:$E$60, 0)</f>
        <v/>
      </c>
    </row>
    <row r="47" ht="38.25" customHeight="1">
      <c r="A47" s="99" t="n">
        <v>38</v>
      </c>
      <c r="B47" s="99" t="inlineStr">
        <is>
          <t>командир 1-ого отделения 443 учебной группы</t>
        </is>
      </c>
      <c r="C47" s="99" t="inlineStr">
        <is>
          <t>сержант</t>
        </is>
      </c>
      <c r="D47" s="99" t="inlineStr">
        <is>
          <t>Прокофьев 
Алексей Петрович</t>
        </is>
      </c>
      <c r="E47" s="99">
        <f>'КО1-443'!$D$40</f>
        <v/>
      </c>
      <c r="F47" s="99">
        <f>_xlfn.RANK.EQ(E47,$E$10:$E$60, 0)</f>
        <v/>
      </c>
    </row>
    <row r="48" ht="38.25" customHeight="1">
      <c r="A48" s="99" t="n">
        <v>39</v>
      </c>
      <c r="B48" s="99" t="inlineStr">
        <is>
          <t>командир 2-ого отделения 443 учебной группы</t>
        </is>
      </c>
      <c r="C48" s="99" t="inlineStr">
        <is>
          <t>сержант</t>
        </is>
      </c>
      <c r="D48" s="99" t="inlineStr">
        <is>
          <t>Дуюнов 
Егор Алексеевич</t>
        </is>
      </c>
      <c r="E48" s="99">
        <f>'КО2-443'!$D$40</f>
        <v/>
      </c>
      <c r="F48" s="99">
        <f>_xlfn.RANK.EQ(E48,$E$10:$E$60, 0)</f>
        <v/>
      </c>
    </row>
    <row r="49" ht="38.25" customHeight="1">
      <c r="A49" s="99" t="n">
        <v>40</v>
      </c>
      <c r="B49" s="99" t="inlineStr">
        <is>
          <t>командир 1-ого отделения 444 учебной группы</t>
        </is>
      </c>
      <c r="C49" s="99" t="inlineStr">
        <is>
          <t>младший сержант</t>
        </is>
      </c>
      <c r="D49" s="99" t="inlineStr">
        <is>
          <t>Чинякин 
Александр Николаевич</t>
        </is>
      </c>
      <c r="E49" s="99">
        <f>'КО1-444'!$D$40</f>
        <v/>
      </c>
      <c r="F49" s="99">
        <f>_xlfn.RANK.EQ(E49,$E$10:$E$60, 0)</f>
        <v/>
      </c>
    </row>
    <row r="50" ht="38.25" customHeight="1">
      <c r="A50" s="99" t="n">
        <v>41</v>
      </c>
      <c r="B50" s="99" t="inlineStr">
        <is>
          <t>командир 2-ого отделения 444 учебной группы</t>
        </is>
      </c>
      <c r="C50" s="99" t="inlineStr">
        <is>
          <t>младший сержант</t>
        </is>
      </c>
      <c r="D50" s="99" t="inlineStr">
        <is>
          <t>Сотов 
Олег Игоревич</t>
        </is>
      </c>
      <c r="E50" s="99">
        <f>'КО2-444'!$D$40</f>
        <v/>
      </c>
      <c r="F50" s="99">
        <f>_xlfn.RANK.EQ(E50,$E$10:$E$60, 0)</f>
        <v/>
      </c>
    </row>
    <row r="51" ht="38.25" customHeight="1">
      <c r="A51" s="99" t="n">
        <v>42</v>
      </c>
      <c r="B51" s="99" t="inlineStr">
        <is>
          <t>командир 3-ого отделения 444 учебной группы</t>
        </is>
      </c>
      <c r="C51" s="99" t="inlineStr">
        <is>
          <t>младший сержант</t>
        </is>
      </c>
      <c r="D51" s="99" t="inlineStr">
        <is>
          <t>Тюрин 
Артем Русланович</t>
        </is>
      </c>
      <c r="E51" s="99">
        <f>'КО3-444'!$D$40</f>
        <v/>
      </c>
      <c r="F51" s="99">
        <f>_xlfn.RANK.EQ(E51,$E$10:$E$60, 0)</f>
        <v/>
      </c>
    </row>
    <row r="52" ht="38.25" customHeight="1">
      <c r="A52" s="99" t="n">
        <v>43</v>
      </c>
      <c r="B52" s="99" t="inlineStr">
        <is>
          <t>командир 1-ого отделения 451 учебной группы</t>
        </is>
      </c>
      <c r="C52" s="99" t="inlineStr">
        <is>
          <t>сержант</t>
        </is>
      </c>
      <c r="D52" s="99" t="inlineStr">
        <is>
          <t>Нагибин 
Алексей Сергеевич</t>
        </is>
      </c>
      <c r="E52" s="99">
        <f>'КО1-451'!$D$40</f>
        <v/>
      </c>
      <c r="F52" s="99">
        <f>_xlfn.RANK.EQ(E52,$E$10:$E$60, 0)</f>
        <v/>
      </c>
    </row>
    <row r="53" ht="38.25" customHeight="1">
      <c r="A53" s="99" t="n">
        <v>44</v>
      </c>
      <c r="B53" s="99" t="inlineStr">
        <is>
          <t>командир 2-ого отделения 451 учебной группы</t>
        </is>
      </c>
      <c r="C53" s="99" t="inlineStr">
        <is>
          <t>сержант</t>
        </is>
      </c>
      <c r="D53" s="99" t="inlineStr">
        <is>
          <t>Акшинцев 
Алексей Евгеньевич</t>
        </is>
      </c>
      <c r="E53" s="99">
        <f>'КО2-451'!$D$40</f>
        <v/>
      </c>
      <c r="F53" s="99">
        <f>_xlfn.RANK.EQ(E53,$E$10:$E$60, 0)</f>
        <v/>
      </c>
    </row>
    <row r="54" ht="38.25" customHeight="1">
      <c r="A54" s="99" t="n">
        <v>45</v>
      </c>
      <c r="B54" s="99" t="inlineStr">
        <is>
          <t>командир 1-ого отделения 452 учебной группы</t>
        </is>
      </c>
      <c r="C54" s="99" t="inlineStr">
        <is>
          <t>старший сержант</t>
        </is>
      </c>
      <c r="D54" s="99" t="inlineStr">
        <is>
          <t>Важенин 
Денис Александрович</t>
        </is>
      </c>
      <c r="E54" s="99">
        <f>'КО1-452'!$D$40</f>
        <v/>
      </c>
      <c r="F54" s="99">
        <f>_xlfn.RANK.EQ(E54,$E$10:$E$60, 0)</f>
        <v/>
      </c>
    </row>
    <row r="55" ht="38.25" customHeight="1">
      <c r="A55" s="99" t="n">
        <v>46</v>
      </c>
      <c r="B55" s="99" t="inlineStr">
        <is>
          <t>командир 2-ого отделения 452 учебной группы</t>
        </is>
      </c>
      <c r="C55" s="99" t="inlineStr">
        <is>
          <t>сержант</t>
        </is>
      </c>
      <c r="D55" s="99" t="inlineStr">
        <is>
          <t>Аксенов 
Дмитрий Александрович</t>
        </is>
      </c>
      <c r="E55" s="99">
        <f>'КО2-452'!$D$40</f>
        <v/>
      </c>
      <c r="F55" s="99">
        <f>_xlfn.RANK.EQ(E55,$E$10:$E$60, 0)</f>
        <v/>
      </c>
    </row>
    <row r="56" ht="38.25" customHeight="1">
      <c r="A56" s="99" t="n">
        <v>47</v>
      </c>
      <c r="B56" s="99" t="inlineStr">
        <is>
          <t>командир 1-ого отделения 453 учебной группы</t>
        </is>
      </c>
      <c r="C56" s="99" t="inlineStr">
        <is>
          <t>сержант</t>
        </is>
      </c>
      <c r="D56" s="99" t="inlineStr">
        <is>
          <t>Чавкин 
Никита Александрович</t>
        </is>
      </c>
      <c r="E56" s="99">
        <f>'КО1-453'!$D$40</f>
        <v/>
      </c>
      <c r="F56" s="99">
        <f>_xlfn.RANK.EQ(E56,$E$10:$E$60, 0)</f>
        <v/>
      </c>
    </row>
    <row r="57" ht="38.25" customHeight="1">
      <c r="A57" s="99" t="n">
        <v>48</v>
      </c>
      <c r="B57" s="99" t="inlineStr">
        <is>
          <t>командир 2-ого отделения 453 учебной группы</t>
        </is>
      </c>
      <c r="C57" s="99" t="inlineStr">
        <is>
          <t>сержант</t>
        </is>
      </c>
      <c r="D57" s="99" t="inlineStr">
        <is>
          <t>Войнов 
Владимир Владимирович</t>
        </is>
      </c>
      <c r="E57" s="99">
        <f>'КО2-453'!$D$40</f>
        <v/>
      </c>
      <c r="F57" s="99">
        <f>_xlfn.RANK.EQ(E57,$E$10:$E$60, 0)</f>
        <v/>
      </c>
    </row>
    <row r="58" ht="38.25" customHeight="1">
      <c r="A58" s="99" t="n">
        <v>49</v>
      </c>
      <c r="B58" s="99" t="inlineStr">
        <is>
          <t>командир 1-ого отделения 454 учебной группы</t>
        </is>
      </c>
      <c r="C58" s="99" t="inlineStr">
        <is>
          <t>сержант</t>
        </is>
      </c>
      <c r="D58" s="99" t="inlineStr">
        <is>
          <t>Лекомцев 
Даниил Сергеевич</t>
        </is>
      </c>
      <c r="E58" s="99">
        <f>'КО1-454'!$D$40</f>
        <v/>
      </c>
      <c r="F58" s="99">
        <f>_xlfn.RANK.EQ(E58,$E$10:$E$60, 0)</f>
        <v/>
      </c>
    </row>
    <row r="59" ht="38.25" customHeight="1">
      <c r="A59" s="99" t="n">
        <v>50</v>
      </c>
      <c r="B59" s="99" t="inlineStr">
        <is>
          <t>командир 2-ого отделения 454 учебной группы</t>
        </is>
      </c>
      <c r="C59" s="99" t="inlineStr">
        <is>
          <t>сержант</t>
        </is>
      </c>
      <c r="D59" s="99" t="inlineStr">
        <is>
          <t>Пучков 
Денис Александрович</t>
        </is>
      </c>
      <c r="E59" s="99">
        <f>'КО2-454'!$D$40</f>
        <v/>
      </c>
      <c r="F59" s="99">
        <f>_xlfn.RANK.EQ(E59,$E$10:$E$60, 0)</f>
        <v/>
      </c>
    </row>
    <row r="60" ht="38.25" customHeight="1">
      <c r="A60" s="99" t="n">
        <v>51</v>
      </c>
      <c r="B60" s="99" t="inlineStr">
        <is>
          <t>командир 3-ого отделения 454 учебной группы</t>
        </is>
      </c>
      <c r="C60" s="99" t="inlineStr">
        <is>
          <t>младший сержант</t>
        </is>
      </c>
      <c r="D60" s="99" t="inlineStr">
        <is>
          <t>Нехаенко 
Станислав Сергеевич</t>
        </is>
      </c>
      <c r="E60" s="99">
        <f>'КО3-454'!$D$40</f>
        <v/>
      </c>
      <c r="F60" s="99">
        <f>_xlfn.RANK.EQ(E60,$E$10:$E$60, 0)</f>
        <v/>
      </c>
    </row>
    <row r="61" ht="18.75" customHeight="1">
      <c r="A61" s="100" t="inlineStr">
        <is>
          <t>Начальник факультета №4</t>
        </is>
      </c>
      <c r="B61" s="101" t="n"/>
      <c r="C61" s="101" t="n"/>
      <c r="D61" s="101" t="n"/>
      <c r="E61" s="101" t="n"/>
      <c r="F61" s="101" t="n"/>
    </row>
    <row r="62" ht="18.75" customHeight="1">
      <c r="A62" s="102" t="inlineStr">
        <is>
          <t>полковник                              Д.Калинин</t>
        </is>
      </c>
    </row>
    <row r="63" ht="18.75" customHeight="1">
      <c r="A63" s="102" t="inlineStr">
        <is>
          <t>"    " октября 2026 г.</t>
        </is>
      </c>
    </row>
  </sheetData>
  <mergeCells count="14">
    <mergeCell ref="A2:F2"/>
    <mergeCell ref="A63:F63"/>
    <mergeCell ref="E8:E9"/>
    <mergeCell ref="C8:C9"/>
    <mergeCell ref="F8:F9"/>
    <mergeCell ref="A1:F1"/>
    <mergeCell ref="A5:F5"/>
    <mergeCell ref="D8:D9"/>
    <mergeCell ref="A6:F6"/>
    <mergeCell ref="B8:B9"/>
    <mergeCell ref="A61:F61"/>
    <mergeCell ref="A4:F4"/>
    <mergeCell ref="A62:F62"/>
    <mergeCell ref="A3:F3"/>
  </mergeCells>
  <conditionalFormatting sqref="A8:F60">
    <cfRule type="top10" rank="10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Колупанов Даниил Владиславович</dc:creator>
  <dc:title>Рейтинг сержант факультета №4</dc:title>
  <dcterms:created xsi:type="dcterms:W3CDTF">2015-06-05T18:19:34Z</dcterms:created>
  <dcterms:modified xsi:type="dcterms:W3CDTF">2026-10-29T06:17:13Z</dcterms:modified>
  <cp:lastModifiedBy>Соколовский Игорь Владимирович</cp:lastModifiedBy>
</cp:coreProperties>
</file>